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f4fda9b25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c8bf21c6a64550"/>
    <x:sheet xmlns:r="http://schemas.openxmlformats.org/officeDocument/2006/relationships" name="Orders" sheetId="2" r:id="Re7a1243dee0d41a9"/>
    <x:sheet xmlns:r="http://schemas.openxmlformats.org/officeDocument/2006/relationships" name="Order Items" sheetId="3" r:id="R2176eb28367e41a9"/>
    <x:sheet xmlns:r="http://schemas.openxmlformats.org/officeDocument/2006/relationships" name="Lookups" sheetId="4" r:id="R4e11b87a5a08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0">
    <x:font>
      <x:sz val="11"/>
      <x:name val="Carlito"/>
    </x:font>
    <x:font>
      <x:sz val="11"/>
      <x:color rgb="FF1D1D1F"/>
      <x:name val="Aptos"/>
    </x:font>
    <x:font>
      <x:b/>
      <x:sz val="24"/>
      <x:color rgb="FF1D1D1F"/>
      <x:name val="Aptos Display"/>
    </x:font>
    <x:font>
      <x:sz val="11"/>
      <x:color rgb="FF6E6E73"/>
      <x:name val="Aptos"/>
    </x:font>
    <x:font>
      <x:b/>
      <x:sz val="10"/>
      <x:color rgb="FFFFFFFF"/>
      <x:name val="Aptos"/>
    </x:font>
    <x:font>
      <x:b/>
      <x:sz val="12"/>
      <x:color rgb="FF6E6E73"/>
      <x:name val="Aptos"/>
    </x:font>
    <x:font>
      <x:b/>
      <x:sz val="10"/>
      <x:color rgb="FF6E6E73"/>
      <x:name val="Aptos"/>
    </x:font>
    <x:font>
      <x:b/>
      <x:sz val="22"/>
      <x:color rgb="FF1D1D1F"/>
      <x:name val="Aptos Display"/>
    </x:font>
    <x:font>
      <x:b/>
      <x:sz val="11"/>
      <x:color rgb="FFFFFFFF"/>
      <x:name val="Aptos"/>
    </x:font>
    <x:font>
      <x:sz val="11"/>
      <x:color rgb="FF424245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A1F44"/>
      </x:patternFill>
    </x:fill>
    <x:fill>
      <x:patternFill patternType="solid">
        <x:fgColor rgb="FFF5F5F7"/>
      </x:patternFill>
    </x:fill>
  </x:fills>
  <x:borders count="28">
    <x:border/>
    <x:border>
      <x:left style="thin">
        <x:color rgb="FF0A1F44"/>
      </x:left>
      <x:top style="thin">
        <x:color rgb="FF0A1F44"/>
      </x:top>
      <x:bottom style="thin">
        <x:color rgb="FF0A1F44"/>
      </x:bottom>
    </x:border>
    <x:border>
      <x:top style="thin">
        <x:color rgb="FF0A1F44"/>
      </x:top>
      <x:bottom style="thin">
        <x:color rgb="FF0A1F44"/>
      </x:bottom>
    </x:border>
    <x:border>
      <x:right style="thin">
        <x:color rgb="FF0A1F44"/>
      </x:right>
      <x:top style="thin">
        <x:color rgb="FF0A1F44"/>
      </x:top>
      <x:bottom style="thin">
        <x:color rgb="FF0A1F44"/>
      </x:bottom>
    </x:border>
    <x:border>
      <x:left style="thin">
        <x:color rgb="FF0A1F44"/>
      </x:left>
      <x:right style="thin">
        <x:color rgb="FFEFEFF4"/>
      </x:right>
      <x:top style="thin">
        <x:color rgb="FF0A1F44"/>
      </x:top>
      <x:bottom style="thin">
        <x:color rgb="FFEFEFF4"/>
      </x:bottom>
    </x:border>
    <x:border>
      <x:left style="thin">
        <x:color rgb="FFEFEFF4"/>
      </x:left>
      <x:right style="thin">
        <x:color rgb="FFEFEFF4"/>
      </x:right>
      <x:top style="thin">
        <x:color rgb="FF0A1F44"/>
      </x:top>
      <x:bottom style="thin">
        <x:color rgb="FFEFEFF4"/>
      </x:bottom>
    </x:border>
    <x:border>
      <x:left style="thin">
        <x:color rgb="FFEFEFF4"/>
      </x:left>
      <x:top style="thin">
        <x:color rgb="FF0A1F44"/>
      </x:top>
      <x:bottom style="thin">
        <x:color rgb="FFEFEFF4"/>
      </x:bottom>
    </x:border>
    <x:border>
      <x:left style="thin">
        <x:color rgb="FF0A1F44"/>
      </x:left>
      <x:right style="thin">
        <x:color rgb="FFEFEFF4"/>
      </x:right>
      <x:top style="thin">
        <x:color rgb="FFEFEFF4"/>
      </x:top>
      <x:bottom style="thin">
        <x:color rgb="FFEFEFF4"/>
      </x:bottom>
    </x:border>
    <x:border>
      <x:left style="thin">
        <x:color rgb="FFEFEFF4"/>
      </x:left>
      <x:right style="thin">
        <x:color rgb="FFEFEFF4"/>
      </x:right>
      <x:top style="thin">
        <x:color rgb="FFEFEFF4"/>
      </x:top>
      <x:bottom style="thin">
        <x:color rgb="FFEFEFF4"/>
      </x:bottom>
    </x:border>
    <x:border>
      <x:left style="thin">
        <x:color rgb="FFEFEFF4"/>
      </x:left>
      <x:top style="thin">
        <x:color rgb="FFEFEFF4"/>
      </x:top>
      <x:bottom style="thin">
        <x:color rgb="FFEFEFF4"/>
      </x:bottom>
    </x:border>
    <x:border>
      <x:left style="thin">
        <x:color rgb="FF0A1F44"/>
      </x:left>
      <x:right style="thin">
        <x:color rgb="FFEFEFF4"/>
      </x:right>
      <x:top style="thin">
        <x:color rgb="FFEFEFF4"/>
      </x:top>
      <x:bottom style="thin">
        <x:color rgb="FF0A1F44"/>
      </x:bottom>
    </x:border>
    <x:border>
      <x:left style="thin">
        <x:color rgb="FFEFEFF4"/>
      </x:left>
      <x:right style="thin">
        <x:color rgb="FFEFEFF4"/>
      </x:right>
      <x:top style="thin">
        <x:color rgb="FFEFEFF4"/>
      </x:top>
      <x:bottom style="thin">
        <x:color rgb="FF0A1F44"/>
      </x:bottom>
    </x:border>
    <x:border>
      <x:left style="thin">
        <x:color rgb="FFEFEFF4"/>
      </x:left>
      <x:top style="thin">
        <x:color rgb="FFEFEFF4"/>
      </x:top>
      <x:bottom style="thin">
        <x:color rgb="FF0A1F44"/>
      </x:bottom>
    </x:border>
    <x:border>
      <x:left style="thin">
        <x:color rgb="FFE5E5EA"/>
      </x:left>
      <x:top style="thin">
        <x:color rgb="FFE5E5EA"/>
      </x:top>
    </x:border>
    <x:border>
      <x:right style="thin">
        <x:color rgb="FFE5E5EA"/>
      </x:right>
      <x:top style="thin">
        <x:color rgb="FFE5E5EA"/>
      </x:top>
    </x:border>
    <x:border>
      <x:left style="thin">
        <x:color rgb="FFE5E5EA"/>
      </x:left>
    </x:border>
    <x:border>
      <x:right style="thin">
        <x:color rgb="FFE5E5EA"/>
      </x:right>
    </x:border>
    <x:border>
      <x:left style="thin">
        <x:color rgb="FFE5E5EA"/>
      </x:left>
      <x:bottom style="thin">
        <x:color rgb="FFE5E5EA"/>
      </x:bottom>
    </x:border>
    <x:border>
      <x:right style="thin">
        <x:color rgb="FFE5E5EA"/>
      </x:right>
      <x:bottom style="thin">
        <x:color rgb="FFE5E5EA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top style="thin">
        <x:color rgb="FFFFFFFF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/>
    <x:xf numFmtId="200" fontId="1" fillId="2" borderId="8" xfId="0" applyNumberFormat="1" applyFont="1" applyFill="1" applyBorder="1"/>
    <x:xf numFmtId="0" fontId="1" fillId="2" borderId="8" xfId="0" applyNumberFormat="1" applyFont="1" applyFill="1" applyBorder="1"/>
    <x:xf numFmtId="201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0" xfId="0" applyNumberFormat="1" applyFont="1" applyFill="1" applyBorder="1"/>
    <x:xf numFmtId="200" fontId="1" fillId="2" borderId="11" xfId="0" applyNumberFormat="1" applyFont="1" applyFill="1" applyBorder="1"/>
    <x:xf numFmtId="0" fontId="1" fillId="2" borderId="11" xfId="0" applyNumberFormat="1" applyFont="1" applyFill="1" applyBorder="1"/>
    <x:xf numFmtId="201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5" fillId="2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3" xfId="0" applyNumberFormat="1" applyFont="1" applyFill="1" applyBorder="1"/>
    <x:xf numFmtId="0" fontId="1" fillId="4" borderId="14" xfId="0" applyNumberFormat="1" applyFont="1" applyFill="1" applyBorder="1"/>
    <x:xf numFmtId="0" fontId="1" fillId="4" borderId="15" xfId="0" applyNumberFormat="1" applyFont="1" applyFill="1" applyBorder="1"/>
    <x:xf numFmtId="0" fontId="1" fillId="4" borderId="16" xfId="0" applyNumberFormat="1" applyFont="1" applyFill="1" applyBorder="1"/>
    <x:xf numFmtId="0" fontId="1" fillId="4" borderId="17" xfId="0" applyNumberFormat="1" applyFont="1" applyFill="1" applyBorder="1"/>
    <x:xf numFmtId="0" fontId="1" fillId="4" borderId="18" xfId="0" applyNumberFormat="1" applyFont="1" applyFill="1" applyBorder="1"/>
    <x:xf numFmtId="0" fontId="1" fillId="4" borderId="13" xfId="0" applyNumberFormat="1" applyFont="1" applyFill="1" applyBorder="1" applyAlignment="1">
      <x:alignment vertical="center"/>
    </x:xf>
    <x:xf numFmtId="0" fontId="1" fillId="4" borderId="14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center"/>
    </x:xf>
    <x:xf numFmtId="0" fontId="1" fillId="4" borderId="16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center"/>
    </x:xf>
    <x:xf numFmtId="0" fontId="1" fillId="4" borderId="18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/>
    </x:xf>
    <x:xf numFmtId="0" fontId="7" fillId="4" borderId="15" xfId="0" applyNumberFormat="1" applyFont="1" applyFill="1" applyBorder="1" applyAlignment="1">
      <x:alignment vertical="center"/>
    </x:xf>
    <x:xf numFmtId="201" fontId="7" fillId="4" borderId="15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 wrapText="1"/>
    </x:xf>
    <x:xf numFmtId="0" fontId="1" fillId="4" borderId="14" xfId="0" applyNumberFormat="1" applyFont="1" applyFill="1" applyBorder="1" applyAlignment="1">
      <x:alignment vertical="center" wrapText="1"/>
    </x:xf>
    <x:xf numFmtId="201" fontId="7" fillId="4" borderId="15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201" fontId="1" fillId="4" borderId="16" xfId="0" applyNumberFormat="1" applyFont="1" applyFill="1" applyBorder="1" applyAlignment="1">
      <x:alignment vertical="center" wrapText="1"/>
    </x:xf>
    <x:xf numFmtId="201" fontId="1" fillId="2" borderId="9" xfId="0" applyNumberFormat="1" applyFont="1" applyFill="1" applyBorder="1"/>
    <x:xf numFmtId="201" fontId="1" fillId="2" borderId="12" xfId="0" applyNumberFormat="1" applyFont="1" applyFill="1" applyBorder="1"/>
    <x:xf numFmtId="0" fontId="8" fillId="3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9" xfId="0" applyNumberFormat="1" applyFont="1" applyFill="1" applyBorder="1"/>
    <x:xf numFmtId="0" fontId="9" fillId="4" borderId="20" xfId="0" applyNumberFormat="1" applyFont="1" applyFill="1" applyBorder="1"/>
    <x:xf numFmtId="0" fontId="9" fillId="4" borderId="21" xfId="0" applyNumberFormat="1" applyFont="1" applyFill="1" applyBorder="1"/>
    <x:xf numFmtId="0" fontId="9" fillId="4" borderId="22" xfId="0" applyNumberFormat="1" applyFont="1" applyFill="1" applyBorder="1"/>
    <x:xf numFmtId="0" fontId="9" fillId="4" borderId="23" xfId="0" applyNumberFormat="1" applyFont="1" applyFill="1" applyBorder="1"/>
    <x:xf numFmtId="0" fontId="9" fillId="4" borderId="24" xfId="0" applyNumberFormat="1" applyFont="1" applyFill="1" applyBorder="1"/>
    <x:xf numFmtId="0" fontId="9" fillId="4" borderId="25" xfId="0" applyNumberFormat="1" applyFont="1" applyFill="1" applyBorder="1"/>
    <x:xf numFmtId="0" fontId="9" fillId="4" borderId="26" xfId="0" applyNumberFormat="1" applyFont="1" applyFill="1" applyBorder="1"/>
    <x:xf numFmtId="0" fontId="9" fillId="4" borderId="27" xfId="0" applyNumberFormat="1" applyFont="1" applyFill="1" applyBorder="1"/>
    <x:xf numFmtId="0" fontId="9" fillId="4" borderId="19" xfId="0" applyNumberFormat="1" applyFont="1" applyFill="1" applyBorder="1" applyAlignment="1">
      <x:alignment wrapText="1"/>
    </x:xf>
    <x:xf numFmtId="0" fontId="9" fillId="4" borderId="20" xfId="0" applyNumberFormat="1" applyFont="1" applyFill="1" applyBorder="1" applyAlignment="1">
      <x:alignment wrapText="1"/>
    </x:xf>
    <x:xf numFmtId="0" fontId="9" fillId="4" borderId="21" xfId="0" applyNumberFormat="1" applyFont="1" applyFill="1" applyBorder="1" applyAlignment="1">
      <x:alignment wrapText="1"/>
    </x:xf>
    <x:xf numFmtId="0" fontId="9" fillId="4" borderId="22" xfId="0" applyNumberFormat="1" applyFont="1" applyFill="1" applyBorder="1" applyAlignment="1">
      <x:alignment wrapText="1"/>
    </x:xf>
    <x:xf numFmtId="0" fontId="9" fillId="4" borderId="23" xfId="0" applyNumberFormat="1" applyFont="1" applyFill="1" applyBorder="1" applyAlignment="1">
      <x:alignment wrapText="1"/>
    </x:xf>
    <x:xf numFmtId="0" fontId="9" fillId="4" borderId="24" xfId="0" applyNumberFormat="1" applyFont="1" applyFill="1" applyBorder="1" applyAlignment="1">
      <x:alignment wrapText="1"/>
    </x:xf>
    <x:xf numFmtId="0" fontId="9" fillId="4" borderId="25" xfId="0" applyNumberFormat="1" applyFont="1" applyFill="1" applyBorder="1" applyAlignment="1">
      <x:alignment wrapText="1"/>
    </x:xf>
    <x:xf numFmtId="0" fontId="9" fillId="4" borderId="26" xfId="0" applyNumberFormat="1" applyFont="1" applyFill="1" applyBorder="1" applyAlignment="1">
      <x:alignment wrapText="1"/>
    </x:xf>
    <x:xf numFmtId="0" fontId="9" fillId="4" borderId="27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A6B4A"/>
      </x:font>
      <x:fill>
        <x:patternFill patternType="solid">
          <x:bgColor rgb="FFE8F5EF"/>
        </x:patternFill>
      </x:fill>
    </x:dxf>
    <x:dxf>
      <x:font>
        <x:b/>
        <x:color rgb="FFB8952A"/>
      </x:font>
      <x:fill>
        <x:patternFill patternType="solid">
          <x:bgColor rgb="FFF5EDD6"/>
        </x:patternFill>
      </x:fill>
    </x:dxf>
    <x:dxf>
      <x:font>
        <x:b/>
        <x:color rgb="FFB42318"/>
      </x:font>
      <x:fill>
        <x:patternFill patternType="solid">
          <x:bgColor rgb="FFFF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96a6b1ea746c3" /><Relationship Type="http://schemas.openxmlformats.org/officeDocument/2006/relationships/theme" Target="/xl/theme/theme1.xml" Id="Rd0a01adbb8214058" /><Relationship Type="http://schemas.openxmlformats.org/officeDocument/2006/relationships/sharedStrings" Target="/xl/sharedStrings.xml" Id="R6d0b614a74ed4e92" /><Relationship Type="http://schemas.openxmlformats.org/officeDocument/2006/relationships/worksheet" Target="/xl/worksheets/sheet1.xml" Id="R52c8bf21c6a64550" /><Relationship Type="http://schemas.openxmlformats.org/officeDocument/2006/relationships/worksheet" Target="/xl/worksheets/sheet2.xml" Id="Re7a1243dee0d41a9" /><Relationship Type="http://schemas.openxmlformats.org/officeDocument/2006/relationships/worksheet" Target="/xl/worksheets/sheet3.xml" Id="R2176eb28367e41a9" /><Relationship Type="http://schemas.openxmlformats.org/officeDocument/2006/relationships/worksheet" Target="/xl/worksheets/sheet4.xml" Id="R4e11b87a5a0843a5" /></Relationships>
</file>

<file path=xl/tables/table1.xml><?xml version="1.0" encoding="utf-8"?>
<x:table xmlns:x="http://schemas.openxmlformats.org/spreadsheetml/2006/main" id="1" name="OrdersTable" displayName="OrdersTable" ref="A4:N104" headerRowCount="1">
  <x:tableColumns count="14">
    <x:tableColumn id="1" name="Order ID"/>
    <x:tableColumn id="2" name="Date Received"/>
    <x:tableColumn id="3" name="Customer Name"/>
    <x:tableColumn id="4" name="WhatsApp / Phone"/>
    <x:tableColumn id="5" name="Email"/>
    <x:tableColumn id="6" name="Preferred Contact"/>
    <x:tableColumn id="7" name="Branch"/>
    <x:tableColumn id="8" name="Service Type"/>
    <x:tableColumn id="9" name="Status"/>
    <x:tableColumn id="10" name="Expected Pickup"/>
    <x:tableColumn id="11" name="Delivered Date"/>
    <x:tableColumn id="12" name="Total TZS"/>
    <x:tableColumn id="13" name="Payment Status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OrderItemsTable" displayName="OrderItemsTable" ref="A4:H104" headerRowCount="1">
  <x:tableColumns count="8">
    <x:tableColumn id="1" name="Order ID"/>
    <x:tableColumn id="2" name="Item"/>
    <x:tableColumn id="3" name="Category"/>
    <x:tableColumn id="4" name="Service"/>
    <x:tableColumn id="5" name="Quantity"/>
    <x:tableColumn id="6" name="Unit Price TZS"/>
    <x:tableColumn id="7" name="Subtotal TZ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8864e5d00049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c745029c2b4d63" /></Relationships>
</file>

<file path=xl/worksheets/sheet1.xml><?xml version="1.0" encoding="utf-8"?>
<x:worksheet xmlns:x="http://schemas.openxmlformats.org/spreadsheetml/2006/main">
  <x:sheetFormatPr defaultRowHeight="15"/>
  <x:cols>
    <x:col min="1" max="1" width="78.77999877929688" hidden="0" customWidth="1"/>
    <x:col min="2" max="2" width="60.439998626708984" hidden="0" customWidth="1"/>
    <x:col min="3" max="3" width="60.439998626708984" hidden="0" customWidth="1"/>
    <x:col min="4" max="4" width="60.439998626708984" hidden="0" customWidth="1"/>
    <x:col min="5" max="5" width="60.439998626708984" hidden="0" customWidth="1"/>
    <x:col min="6" max="6" width="60.439998626708984" hidden="0" customWidth="1"/>
    <x:col min="7" max="7" width="60.439998626708984" hidden="0" customWidth="1"/>
    <x:col min="8" max="8" width="60.439998626708984" hidden="0" customWidth="1"/>
  </x:cols>
  <x:sheetData>
    <x:row r="1" ht="28.799999237060547" hidden="0" customHeight="1">
      <x:c r="A1" s="4" t="str">
        <x:v>Yasser’s Laundry Command Center</x:v>
      </x:c>
      <x:c r="B1" s="4" t="str">
        <x:v>Yasser’s Laundry Command Center</x:v>
      </x:c>
      <x:c r="C1" s="4" t="str">
        <x:v>Yasser’s Laundry Command Center</x:v>
      </x:c>
      <x:c r="D1" s="4" t="str">
        <x:v>Yasser’s Laundry Command Center</x:v>
      </x:c>
      <x:c r="E1" s="4" t="str">
        <x:v>Yasser’s Laundry Command Center</x:v>
      </x:c>
      <x:c r="F1" s="4" t="str">
        <x:v>Yasser’s Laundry Command Center</x:v>
      </x:c>
      <x:c r="G1" s="4" t="str">
        <x:v>Yasser’s Laundry Command Center</x:v>
      </x:c>
      <x:c r="H1" s="4" t="str">
        <x:v>Yasser’s Laundry Command Center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5" t="str">
        <x:v>A clean, Steve Jobs-inspired view: simple signals, fast decisions, no clutter.</x:v>
      </x:c>
      <x:c r="B2" s="5" t="str">
        <x:v>A clean, Steve Jobs-inspired view: simple signals, fast decisions, no clutter.</x:v>
      </x:c>
      <x:c r="C2" s="5" t="str">
        <x:v>A clean, Steve Jobs-inspired view: simple signals, fast decisions, no clutter.</x:v>
      </x:c>
      <x:c r="D2" s="5" t="str">
        <x:v>A clean, Steve Jobs-inspired view: simple signals, fast decisions, no clutter.</x:v>
      </x:c>
      <x:c r="E2" s="5" t="str">
        <x:v>A clean, Steve Jobs-inspired view: simple signals, fast decisions, no clutter.</x:v>
      </x:c>
      <x:c r="F2" s="5" t="str">
        <x:v>A clean, Steve Jobs-inspired view: simple signals, fast decisions, no clutter.</x:v>
      </x:c>
      <x:c r="G2" s="5" t="str">
        <x:v>A clean, Steve Jobs-inspired view: simple signals, fast decisions, no clutter.</x:v>
      </x:c>
      <x:c r="H2" s="5" t="str">
        <x:v>A clean, Steve Jobs-inspired view: simple signals, fast decisions, no clutter.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35" t="str">
        <x:v>Today’s operating pulse</x:v>
      </x:c>
      <x:c r="B4" s="35" t="str">
        <x:v>Today’s operating pulse</x:v>
      </x:c>
      <x:c r="C4" s="35" t="str">
        <x:v>Today’s operating pulse</x:v>
      </x:c>
      <x:c r="D4" s="35" t="str">
        <x:v>Today’s operating pulse</x:v>
      </x:c>
      <x:c r="E4" s="35" t="str">
        <x:v>Today’s operating pulse</x:v>
      </x:c>
      <x:c r="F4" s="35" t="str">
        <x:v>Today’s operating pulse</x:v>
      </x:c>
      <x:c r="G4" s="35" t="str">
        <x:v>Today’s operating pulse</x:v>
      </x:c>
      <x:c r="H4" s="35" t="str">
        <x:v>Today’s operating pulse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52" t="str">
        <x:v>Orders Today</x:v>
      </x:c>
      <x:c r="B6" s="53"/>
      <x:c r="C6" s="52" t="str">
        <x:v>Ready For Pickup</x:v>
      </x:c>
      <x:c r="D6" s="53"/>
      <x:c r="E6" s="52" t="str">
        <x:v>Open Orders</x:v>
      </x:c>
      <x:c r="F6" s="53"/>
      <x:c r="G6" s="52" t="str">
        <x:v>Revenue Today</x:v>
      </x:c>
      <x:c r="H6" s="53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6.399999618530273" hidden="0" customHeight="1">
      <x:c r="A7" s="54" t="str">
        <x:f>TEXT(COUNTIF(Orders!B5:B104,TODAY()),"0")</x:f>
        <x:v>2</x:v>
      </x:c>
      <x:c r="B7" s="55"/>
      <x:c r="C7" s="54" t="str">
        <x:f>TEXT(COUNTIF(Orders!I5:I104,"Ready For Pickup"),"0")</x:f>
        <x:v>1</x:v>
      </x:c>
      <x:c r="D7" s="55"/>
      <x:c r="E7" s="54" t="str">
        <x:f>TEXT(COUNTIFS(Orders!I5:I104,"&lt;&gt;Delivered",Orders!I5:I104,"&lt;&gt;Cancelled",Orders!I5:I104,"&lt;&gt;"),"0")</x:f>
        <x:v>3</x:v>
      </x:c>
      <x:c r="F7" s="55"/>
      <x:c r="G7" s="54" t="str">
        <x:f>TEXT(SUMIFS(Orders!L5:L104,Orders!K5:K104,TODAY()),"#,##0")</x:f>
        <x:v>92,000</x:v>
      </x:c>
      <x:c r="H7" s="58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56"/>
      <x:c r="B8" s="57"/>
      <x:c r="C8" s="56"/>
      <x:c r="D8" s="57"/>
      <x:c r="E8" s="56"/>
      <x:c r="F8" s="57"/>
      <x:c r="G8" s="56"/>
      <x:c r="H8" s="57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2" t="str">
        <x:v>Status</x:v>
      </x:c>
      <x:c r="B11" s="23" t="str">
        <x:v>Count</x:v>
      </x:c>
      <x:c r="C11" s="23" t="str">
        <x:v>Revenue TZS</x:v>
      </x:c>
      <x:c r="D11" s="24" t="str">
        <x:v>Focus</x:v>
      </x:c>
      <x:c r="E11" s="2"/>
      <x:c r="F11" s="22" t="str">
        <x:v>Branch</x:v>
      </x:c>
      <x:c r="G11" s="23" t="str">
        <x:v>Orders</x:v>
      </x:c>
      <x:c r="H11" s="24" t="str">
        <x:v>Revenue TZS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5" t="str">
        <x:v>Received</x:v>
      </x:c>
      <x:c r="B12" s="27" t="n">
        <x:f>COUNTIF(Orders!I:I,A12)</x:f>
        <x:v>1</x:v>
      </x:c>
      <x:c r="C12" s="28" t="n">
        <x:f>SUMIF(Orders!I:I,A12,Orders!L:L)</x:f>
        <x:v>12500</x:v>
      </x:c>
      <x:c r="D12" s="29" t="str">
        <x:f>IF(B12=0,"","Review")</x:f>
        <x:v>Review</x:v>
      </x:c>
      <x:c r="E12" s="2"/>
      <x:c r="F12" s="25" t="str">
        <x:v>Nungwi</x:v>
      </x:c>
      <x:c r="G12" s="27" t="n">
        <x:f>COUNTIF(Orders!G:G,F12)</x:f>
        <x:v>2</x:v>
      </x:c>
      <x:c r="H12" s="59" t="n">
        <x:f>SUMIF(Orders!G:G,F12,Orders!L:L)</x:f>
        <x:v>104500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5" t="str">
        <x:v>Washing</x:v>
      </x:c>
      <x:c r="B13" s="27" t="n">
        <x:f>COUNTIF(Orders!I:I,A13)</x:f>
        <x:v>1</x:v>
      </x:c>
      <x:c r="C13" s="28" t="n">
        <x:f>SUMIF(Orders!I:I,A13,Orders!L:L)</x:f>
        <x:v>7000</x:v>
      </x:c>
      <x:c r="D13" s="29" t="str">
        <x:f>IF(B13=0,"","Review")</x:f>
        <x:v>Review</x:v>
      </x:c>
      <x:c r="E13" s="2"/>
      <x:c r="F13" s="25" t="str">
        <x:v>Mbweni</x:v>
      </x:c>
      <x:c r="G13" s="27" t="n">
        <x:f>COUNTIF(Orders!G:G,F13)</x:f>
        <x:v>1</x:v>
      </x:c>
      <x:c r="H13" s="59" t="n">
        <x:f>SUMIF(Orders!G:G,F13,Orders!L:L)</x:f>
        <x:v>18500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5" t="str">
        <x:v>Dry Cleaning</x:v>
      </x:c>
      <x:c r="B14" s="27" t="n">
        <x:f>COUNTIF(Orders!I:I,A14)</x:f>
        <x:v>0</x:v>
      </x:c>
      <x:c r="C14" s="28" t="n">
        <x:f>SUMIF(Orders!I:I,A14,Orders!L:L)</x:f>
        <x:v>0</x:v>
      </x:c>
      <x:c r="D14" s="29" t="str">
        <x:f>IF(B14=0,"","Review")</x:f>
      </x:c>
      <x:c r="E14" s="2"/>
      <x:c r="F14" s="30" t="str">
        <x:v>Taveta</x:v>
      </x:c>
      <x:c r="G14" s="32" t="n">
        <x:f>COUNTIF(Orders!G:G,F14)</x:f>
        <x:v>1</x:v>
      </x:c>
      <x:c r="H14" s="60" t="n">
        <x:f>SUMIF(Orders!G:G,F14,Orders!L:L)</x:f>
        <x:v>7000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5" t="str">
        <x:v>Pressing</x:v>
      </x:c>
      <x:c r="B15" s="27" t="n">
        <x:f>COUNTIF(Orders!I:I,A15)</x:f>
        <x:v>0</x:v>
      </x:c>
      <x:c r="C15" s="28" t="n">
        <x:f>SUMIF(Orders!I:I,A15,Orders!L:L)</x:f>
        <x:v>0</x:v>
      </x:c>
      <x:c r="D15" s="29" t="str">
        <x:f>IF(B15=0,"","Review")</x:f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5" t="str">
        <x:v>Ready For Pickup</x:v>
      </x:c>
      <x:c r="B16" s="27" t="n">
        <x:f>COUNTIF(Orders!I:I,A16)</x:f>
        <x:v>1</x:v>
      </x:c>
      <x:c r="C16" s="28" t="n">
        <x:f>SUMIF(Orders!I:I,A16,Orders!L:L)</x:f>
        <x:v>18500</x:v>
      </x:c>
      <x:c r="D16" s="29" t="str">
        <x:f>IF(B16=0,"","Review")</x:f>
        <x:v>Review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5" t="str">
        <x:v>Delivered</x:v>
      </x:c>
      <x:c r="B17" s="27" t="n">
        <x:f>COUNTIF(Orders!I:I,A17)</x:f>
        <x:v>1</x:v>
      </x:c>
      <x:c r="C17" s="28" t="n">
        <x:f>SUMIF(Orders!I:I,A17,Orders!L:L)</x:f>
        <x:v>92000</x:v>
      </x:c>
      <x:c r="D17" s="29" t="str">
        <x:f>IF(B17=0,"","Review")</x:f>
        <x:v>Review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30" t="str">
        <x:v>Cancelled</x:v>
      </x:c>
      <x:c r="B18" s="32" t="n">
        <x:f>COUNTIF(Orders!I:I,A18)</x:f>
        <x:v>0</x:v>
      </x:c>
      <x:c r="C18" s="33" t="n">
        <x:f>SUMIF(Orders!I:I,A18,Orders!L:L)</x:f>
        <x:v>0</x:v>
      </x:c>
      <x:c r="D18" s="34" t="str">
        <x:f>IF(B18=0,"","Review")</x:f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61" t="str">
        <x:v>Operating notes</x:v>
      </x:c>
      <x:c r="B21" s="61" t="str">
        <x:v>Operating notes</x:v>
      </x:c>
      <x:c r="C21" s="61" t="str">
        <x:v>Operating notes</x:v>
      </x:c>
      <x:c r="D21" s="61" t="str">
        <x:v>Operating notes</x:v>
      </x:c>
      <x:c r="E21" s="61" t="str">
        <x:v>Operating notes</x:v>
      </x:c>
      <x:c r="F21" s="61" t="str">
        <x:v>Operating notes</x:v>
      </x:c>
      <x:c r="G21" s="61" t="str">
        <x:v>Operating notes</x:v>
      </x:c>
      <x:c r="H21" s="61" t="str">
        <x:v>Operating notes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72" t="str">
        <x:v>1. Enter each customer once in Orders. Use Email as preferred contact when there is no WhatsApp number.</x:v>
      </x:c>
      <x:c r="B22" s="73" t="str"/>
      <x:c r="C22" s="73" t="str"/>
      <x:c r="D22" s="73" t="str"/>
      <x:c r="E22" s="73" t="str"/>
      <x:c r="F22" s="73" t="str"/>
      <x:c r="G22" s="73" t="str"/>
      <x:c r="H22" s="74" t="str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75" t="str">
        <x:v>2. Add garments and quantities in Order Items. Keep Order ID exactly the same as Orders.</x:v>
      </x:c>
      <x:c r="B23" s="76" t="str"/>
      <x:c r="C23" s="76" t="str"/>
      <x:c r="D23" s="76" t="str"/>
      <x:c r="E23" s="76" t="str"/>
      <x:c r="F23" s="76" t="str"/>
      <x:c r="G23" s="76" t="str"/>
      <x:c r="H23" s="77" t="str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75" t="str">
        <x:v>3. Use the Dashboard as the daily morning check: open orders, ready pickup, and unpaid work.</x:v>
      </x:c>
      <x:c r="B24" s="76" t="str"/>
      <x:c r="C24" s="76" t="str"/>
      <x:c r="D24" s="76" t="str"/>
      <x:c r="E24" s="76" t="str"/>
      <x:c r="F24" s="76" t="str"/>
      <x:c r="G24" s="76" t="str"/>
      <x:c r="H24" s="77" t="str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78" t="str">
        <x:v>4. In Google Sheets, add dropdowns from Lookups for Status, Branch, Service Type, and Payment Status.</x:v>
      </x:c>
      <x:c r="B25" s="79" t="str"/>
      <x:c r="C25" s="79" t="str"/>
      <x:c r="D25" s="79" t="str"/>
      <x:c r="E25" s="79" t="str"/>
      <x:c r="F25" s="79" t="str"/>
      <x:c r="G25" s="79" t="str"/>
      <x:c r="H25" s="80" t="str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H1"/>
    <x:mergeCell ref="A2:H2"/>
    <x:mergeCell ref="A4:H4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.779999732971191" hidden="0" customWidth="1"/>
    <x:col min="3" max="3" width="12" hidden="0" customWidth="1"/>
    <x:col min="4" max="4" width="13.670000076293945" hidden="0" customWidth="1"/>
    <x:col min="5" max="5" width="17.110000610351562" hidden="0" customWidth="1"/>
    <x:col min="6" max="6" width="13.109999656677246" hidden="0" customWidth="1"/>
    <x:col min="7" max="7" width="6.21999979019165" hidden="0" customWidth="1"/>
    <x:col min="8" max="8" width="15.4399995803833" hidden="0" customWidth="1"/>
    <x:col min="9" max="9" width="13.4399995803833" hidden="0" customWidth="1"/>
    <x:col min="10" max="10" width="12.4399995803833" hidden="0" customWidth="1"/>
    <x:col min="11" max="11" width="10.890000343322754" hidden="0" customWidth="1"/>
    <x:col min="12" max="12" width="7.110000133514404" hidden="0" customWidth="1"/>
    <x:col min="13" max="13" width="11.670000076293945" hidden="0" customWidth="1"/>
    <x:col min="14" max="14" width="10.670000076293945" hidden="0" customWidth="1"/>
  </x:cols>
  <x:sheetData>
    <x:row r="1">
      <x:c r="A1" s="4" t="str">
        <x:v>Yasser’s Laundry Order Log</x:v>
      </x:c>
      <x:c r="B1" s="4" t="str">
        <x:v>Yasser’s Laundry Order Log</x:v>
      </x:c>
      <x:c r="C1" s="4" t="str">
        <x:v>Yasser’s Laundry Order Log</x:v>
      </x:c>
      <x:c r="D1" s="4" t="str">
        <x:v>Yasser’s Laundry Order Log</x:v>
      </x:c>
      <x:c r="E1" s="4" t="str">
        <x:v>Yasser’s Laundry Order Log</x:v>
      </x:c>
      <x:c r="F1" s="4" t="str">
        <x:v>Yasser’s Laundry Order Log</x:v>
      </x:c>
      <x:c r="G1" s="4" t="str">
        <x:v>Yasser’s Laundry Order Log</x:v>
      </x:c>
      <x:c r="H1" s="4" t="str">
        <x:v>Yasser’s Laundry Order Log</x:v>
      </x:c>
      <x:c r="I1" s="4" t="str">
        <x:v>Yasser’s Laundry Order Log</x:v>
      </x:c>
      <x:c r="J1" s="4" t="str">
        <x:v>Yasser’s Laundry Order Log</x:v>
      </x:c>
      <x:c r="K1" s="4" t="str">
        <x:v>Yasser’s Laundry Order Log</x:v>
      </x:c>
      <x:c r="L1" s="4" t="str">
        <x:v>Yasser’s Laundry Order Log</x:v>
      </x:c>
      <x:c r="M1" s="4" t="str">
        <x:v>Yasser’s Laundry Order Log</x:v>
      </x:c>
      <x:c r="N1" s="4" t="str">
        <x:v>Yasser’s Laundry Order Log</x:v>
      </x:c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5" t="str">
        <x:v>Master order tracker for check-in, contact method, status, payment, pickup and delivery.</x:v>
      </x:c>
      <x:c r="B2" s="5" t="str">
        <x:v>Master order tracker for check-in, contact method, status, payment, pickup and delivery.</x:v>
      </x:c>
      <x:c r="C2" s="5" t="str">
        <x:v>Master order tracker for check-in, contact method, status, payment, pickup and delivery.</x:v>
      </x:c>
      <x:c r="D2" s="5" t="str">
        <x:v>Master order tracker for check-in, contact method, status, payment, pickup and delivery.</x:v>
      </x:c>
      <x:c r="E2" s="5" t="str">
        <x:v>Master order tracker for check-in, contact method, status, payment, pickup and delivery.</x:v>
      </x:c>
      <x:c r="F2" s="5" t="str">
        <x:v>Master order tracker for check-in, contact method, status, payment, pickup and delivery.</x:v>
      </x:c>
      <x:c r="G2" s="5" t="str">
        <x:v>Master order tracker for check-in, contact method, status, payment, pickup and delivery.</x:v>
      </x:c>
      <x:c r="H2" s="5" t="str">
        <x:v>Master order tracker for check-in, contact method, status, payment, pickup and delivery.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2" t="str">
        <x:v>Order ID</x:v>
      </x:c>
      <x:c r="B4" s="23" t="str">
        <x:v>Date Received</x:v>
      </x:c>
      <x:c r="C4" s="23" t="str">
        <x:v>Customer Name</x:v>
      </x:c>
      <x:c r="D4" s="23" t="str">
        <x:v>WhatsApp / Phone</x:v>
      </x:c>
      <x:c r="E4" s="23" t="str">
        <x:v>Email</x:v>
      </x:c>
      <x:c r="F4" s="23" t="str">
        <x:v>Preferred Contact</x:v>
      </x:c>
      <x:c r="G4" s="23" t="str">
        <x:v>Branch</x:v>
      </x:c>
      <x:c r="H4" s="23" t="str">
        <x:v>Service Type</x:v>
      </x:c>
      <x:c r="I4" s="23" t="str">
        <x:v>Status</x:v>
      </x:c>
      <x:c r="J4" s="23" t="str">
        <x:v>Expected Pickup</x:v>
      </x:c>
      <x:c r="K4" s="23" t="str">
        <x:v>Delivered Date</x:v>
      </x:c>
      <x:c r="L4" s="23" t="str">
        <x:v>Total TZS</x:v>
      </x:c>
      <x:c r="M4" s="23" t="str">
        <x:v>Payment Status</x:v>
      </x:c>
      <x:c r="N4" s="24" t="str">
        <x:v>Notes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5" t="str">
        <x:v>YL-2026-1001</x:v>
      </x:c>
      <x:c r="B5" s="26" t="n">
        <x:v>46181</x:v>
      </x:c>
      <x:c r="C5" s="27" t="str">
        <x:v>Amina Said</x:v>
      </x:c>
      <x:c r="D5" s="27" t="str">
        <x:v>+255713438485</x:v>
      </x:c>
      <x:c r="E5" s="27" t="str">
        <x:v>amina@example.com</x:v>
      </x:c>
      <x:c r="F5" s="27" t="str">
        <x:v>WhatsApp</x:v>
      </x:c>
      <x:c r="G5" s="27" t="str">
        <x:v>Nungwi</x:v>
      </x:c>
      <x:c r="H5" s="27" t="str">
        <x:v>Wash &amp; Press</x:v>
      </x:c>
      <x:c r="I5" s="27" t="str">
        <x:v>Received</x:v>
      </x:c>
      <x:c r="J5" s="26" t="n">
        <x:v>46182</x:v>
      </x:c>
      <x:c r="K5" s="26" t="str"/>
      <x:c r="L5" s="28" t="n">
        <x:v>12500</x:v>
      </x:c>
      <x:c r="M5" s="27" t="str">
        <x:v>Unpaid</x:v>
      </x:c>
      <x:c r="N5" s="29" t="str">
        <x:v>Hotel pickup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5" t="str">
        <x:v>YL-2026-1002</x:v>
      </x:c>
      <x:c r="B6" s="26" t="n">
        <x:v>46181</x:v>
      </x:c>
      <x:c r="C6" s="27" t="str">
        <x:v>James Carter</x:v>
      </x:c>
      <x:c r="D6" s="27" t="str"/>
      <x:c r="E6" s="27" t="str">
        <x:v>james@example.com</x:v>
      </x:c>
      <x:c r="F6" s="27" t="str">
        <x:v>Email</x:v>
      </x:c>
      <x:c r="G6" s="27" t="str">
        <x:v>Mbweni</x:v>
      </x:c>
      <x:c r="H6" s="27" t="str">
        <x:v>Dry Only</x:v>
      </x:c>
      <x:c r="I6" s="27" t="str">
        <x:v>Ready For Pickup</x:v>
      </x:c>
      <x:c r="J6" s="26" t="n">
        <x:v>46182</x:v>
      </x:c>
      <x:c r="K6" s="26" t="str"/>
      <x:c r="L6" s="28" t="n">
        <x:v>18500</x:v>
      </x:c>
      <x:c r="M6" s="27" t="str">
        <x:v>Paid</x:v>
      </x:c>
      <x:c r="N6" s="29" t="str">
        <x:v>Email receipt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5" t="str">
        <x:v>YL-2026-1003</x:v>
      </x:c>
      <x:c r="B7" s="26" t="n">
        <x:v>46180</x:v>
      </x:c>
      <x:c r="C7" s="27" t="str">
        <x:v>Zawadi Hotel</x:v>
      </x:c>
      <x:c r="D7" s="27" t="str">
        <x:v>+255779123120</x:v>
      </x:c>
      <x:c r="E7" s="27" t="str">
        <x:v>ops@zawadi.example</x:v>
      </x:c>
      <x:c r="F7" s="27" t="str">
        <x:v>WhatsApp</x:v>
      </x:c>
      <x:c r="G7" s="27" t="str">
        <x:v>Nungwi</x:v>
      </x:c>
      <x:c r="H7" s="27" t="str">
        <x:v>Hotel / Bulk Laundry</x:v>
      </x:c>
      <x:c r="I7" s="27" t="str">
        <x:v>Delivered</x:v>
      </x:c>
      <x:c r="J7" s="26" t="n">
        <x:v>46181</x:v>
      </x:c>
      <x:c r="K7" s="26" t="n">
        <x:v>46181</x:v>
      </x:c>
      <x:c r="L7" s="28" t="n">
        <x:v>92000</x:v>
      </x:c>
      <x:c r="M7" s="27" t="str">
        <x:v>Paid</x:v>
      </x:c>
      <x:c r="N7" s="29" t="str">
        <x:v>Bulk linen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5" t="str">
        <x:v>YL-2026-1004</x:v>
      </x:c>
      <x:c r="B8" s="26" t="n">
        <x:v>46179</x:v>
      </x:c>
      <x:c r="C8" s="27" t="str">
        <x:v>Mariam Haji</x:v>
      </x:c>
      <x:c r="D8" s="27" t="str"/>
      <x:c r="E8" s="27" t="str">
        <x:v>mariam@example.com</x:v>
      </x:c>
      <x:c r="F8" s="27" t="str">
        <x:v>Email</x:v>
      </x:c>
      <x:c r="G8" s="27" t="str">
        <x:v>Taveta</x:v>
      </x:c>
      <x:c r="H8" s="27" t="str">
        <x:v>Ironing &amp; Folding</x:v>
      </x:c>
      <x:c r="I8" s="27" t="str">
        <x:v>Washing</x:v>
      </x:c>
      <x:c r="J8" s="26" t="n">
        <x:v>46181</x:v>
      </x:c>
      <x:c r="K8" s="26" t="str"/>
      <x:c r="L8" s="28" t="n">
        <x:v>7000</x:v>
      </x:c>
      <x:c r="M8" s="27" t="str">
        <x:v>Unpaid</x:v>
      </x:c>
      <x:c r="N8" s="29" t="str">
        <x:v>No WhatsApp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5"/>
      <x:c r="B9" s="26"/>
      <x:c r="C9" s="27"/>
      <x:c r="D9" s="27"/>
      <x:c r="E9" s="27"/>
      <x:c r="F9" s="27"/>
      <x:c r="G9" s="27"/>
      <x:c r="H9" s="27"/>
      <x:c r="I9" s="27"/>
      <x:c r="J9" s="26"/>
      <x:c r="K9" s="26"/>
      <x:c r="L9" s="28"/>
      <x:c r="M9" s="27"/>
      <x:c r="N9" s="29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5"/>
      <x:c r="B10" s="26"/>
      <x:c r="C10" s="27"/>
      <x:c r="D10" s="27"/>
      <x:c r="E10" s="27"/>
      <x:c r="F10" s="27"/>
      <x:c r="G10" s="27"/>
      <x:c r="H10" s="27"/>
      <x:c r="I10" s="27"/>
      <x:c r="J10" s="26"/>
      <x:c r="K10" s="26"/>
      <x:c r="L10" s="28"/>
      <x:c r="M10" s="27"/>
      <x:c r="N10" s="29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5"/>
      <x:c r="B11" s="26"/>
      <x:c r="C11" s="27"/>
      <x:c r="D11" s="27"/>
      <x:c r="E11" s="27"/>
      <x:c r="F11" s="27"/>
      <x:c r="G11" s="27"/>
      <x:c r="H11" s="27"/>
      <x:c r="I11" s="27"/>
      <x:c r="J11" s="26"/>
      <x:c r="K11" s="26"/>
      <x:c r="L11" s="28"/>
      <x:c r="M11" s="27"/>
      <x:c r="N11" s="29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5"/>
      <x:c r="B12" s="26"/>
      <x:c r="C12" s="27"/>
      <x:c r="D12" s="27"/>
      <x:c r="E12" s="27"/>
      <x:c r="F12" s="27"/>
      <x:c r="G12" s="27"/>
      <x:c r="H12" s="27"/>
      <x:c r="I12" s="27"/>
      <x:c r="J12" s="26"/>
      <x:c r="K12" s="26"/>
      <x:c r="L12" s="28"/>
      <x:c r="M12" s="27"/>
      <x:c r="N12" s="29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5"/>
      <x:c r="B13" s="26"/>
      <x:c r="C13" s="27"/>
      <x:c r="D13" s="27"/>
      <x:c r="E13" s="27"/>
      <x:c r="F13" s="27"/>
      <x:c r="G13" s="27"/>
      <x:c r="H13" s="27"/>
      <x:c r="I13" s="27"/>
      <x:c r="J13" s="26"/>
      <x:c r="K13" s="26"/>
      <x:c r="L13" s="28"/>
      <x:c r="M13" s="27"/>
      <x:c r="N13" s="29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5"/>
      <x:c r="B14" s="26"/>
      <x:c r="C14" s="27"/>
      <x:c r="D14" s="27"/>
      <x:c r="E14" s="27"/>
      <x:c r="F14" s="27"/>
      <x:c r="G14" s="27"/>
      <x:c r="H14" s="27"/>
      <x:c r="I14" s="27"/>
      <x:c r="J14" s="26"/>
      <x:c r="K14" s="26"/>
      <x:c r="L14" s="28"/>
      <x:c r="M14" s="27"/>
      <x:c r="N14" s="29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5"/>
      <x:c r="B15" s="26"/>
      <x:c r="C15" s="27"/>
      <x:c r="D15" s="27"/>
      <x:c r="E15" s="27"/>
      <x:c r="F15" s="27"/>
      <x:c r="G15" s="27"/>
      <x:c r="H15" s="27"/>
      <x:c r="I15" s="27"/>
      <x:c r="J15" s="26"/>
      <x:c r="K15" s="26"/>
      <x:c r="L15" s="28"/>
      <x:c r="M15" s="27"/>
      <x:c r="N15" s="29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5"/>
      <x:c r="B16" s="26"/>
      <x:c r="C16" s="27"/>
      <x:c r="D16" s="27"/>
      <x:c r="E16" s="27"/>
      <x:c r="F16" s="27"/>
      <x:c r="G16" s="27"/>
      <x:c r="H16" s="27"/>
      <x:c r="I16" s="27"/>
      <x:c r="J16" s="26"/>
      <x:c r="K16" s="26"/>
      <x:c r="L16" s="28"/>
      <x:c r="M16" s="27"/>
      <x:c r="N16" s="29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5"/>
      <x:c r="B17" s="26"/>
      <x:c r="C17" s="27"/>
      <x:c r="D17" s="27"/>
      <x:c r="E17" s="27"/>
      <x:c r="F17" s="27"/>
      <x:c r="G17" s="27"/>
      <x:c r="H17" s="27"/>
      <x:c r="I17" s="27"/>
      <x:c r="J17" s="26"/>
      <x:c r="K17" s="26"/>
      <x:c r="L17" s="28"/>
      <x:c r="M17" s="27"/>
      <x:c r="N17" s="29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5"/>
      <x:c r="B18" s="26"/>
      <x:c r="C18" s="27"/>
      <x:c r="D18" s="27"/>
      <x:c r="E18" s="27"/>
      <x:c r="F18" s="27"/>
      <x:c r="G18" s="27"/>
      <x:c r="H18" s="27"/>
      <x:c r="I18" s="27"/>
      <x:c r="J18" s="26"/>
      <x:c r="K18" s="26"/>
      <x:c r="L18" s="28"/>
      <x:c r="M18" s="27"/>
      <x:c r="N18" s="29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5"/>
      <x:c r="B19" s="26"/>
      <x:c r="C19" s="27"/>
      <x:c r="D19" s="27"/>
      <x:c r="E19" s="27"/>
      <x:c r="F19" s="27"/>
      <x:c r="G19" s="27"/>
      <x:c r="H19" s="27"/>
      <x:c r="I19" s="27"/>
      <x:c r="J19" s="26"/>
      <x:c r="K19" s="26"/>
      <x:c r="L19" s="28"/>
      <x:c r="M19" s="27"/>
      <x:c r="N19" s="29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5"/>
      <x:c r="B20" s="26"/>
      <x:c r="C20" s="27"/>
      <x:c r="D20" s="27"/>
      <x:c r="E20" s="27"/>
      <x:c r="F20" s="27"/>
      <x:c r="G20" s="27"/>
      <x:c r="H20" s="27"/>
      <x:c r="I20" s="27"/>
      <x:c r="J20" s="26"/>
      <x:c r="K20" s="26"/>
      <x:c r="L20" s="28"/>
      <x:c r="M20" s="27"/>
      <x:c r="N20" s="29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5"/>
      <x:c r="B21" s="26"/>
      <x:c r="C21" s="27"/>
      <x:c r="D21" s="27"/>
      <x:c r="E21" s="27"/>
      <x:c r="F21" s="27"/>
      <x:c r="G21" s="27"/>
      <x:c r="H21" s="27"/>
      <x:c r="I21" s="27"/>
      <x:c r="J21" s="26"/>
      <x:c r="K21" s="26"/>
      <x:c r="L21" s="28"/>
      <x:c r="M21" s="27"/>
      <x:c r="N21" s="29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5"/>
      <x:c r="B22" s="26"/>
      <x:c r="C22" s="27"/>
      <x:c r="D22" s="27"/>
      <x:c r="E22" s="27"/>
      <x:c r="F22" s="27"/>
      <x:c r="G22" s="27"/>
      <x:c r="H22" s="27"/>
      <x:c r="I22" s="27"/>
      <x:c r="J22" s="26"/>
      <x:c r="K22" s="26"/>
      <x:c r="L22" s="28"/>
      <x:c r="M22" s="27"/>
      <x:c r="N22" s="29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5"/>
      <x:c r="B23" s="26"/>
      <x:c r="C23" s="27"/>
      <x:c r="D23" s="27"/>
      <x:c r="E23" s="27"/>
      <x:c r="F23" s="27"/>
      <x:c r="G23" s="27"/>
      <x:c r="H23" s="27"/>
      <x:c r="I23" s="27"/>
      <x:c r="J23" s="26"/>
      <x:c r="K23" s="26"/>
      <x:c r="L23" s="28"/>
      <x:c r="M23" s="27"/>
      <x:c r="N23" s="29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5"/>
      <x:c r="B24" s="26"/>
      <x:c r="C24" s="27"/>
      <x:c r="D24" s="27"/>
      <x:c r="E24" s="27"/>
      <x:c r="F24" s="27"/>
      <x:c r="G24" s="27"/>
      <x:c r="H24" s="27"/>
      <x:c r="I24" s="27"/>
      <x:c r="J24" s="26"/>
      <x:c r="K24" s="26"/>
      <x:c r="L24" s="28"/>
      <x:c r="M24" s="27"/>
      <x:c r="N24" s="29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5"/>
      <x:c r="B25" s="26"/>
      <x:c r="C25" s="27"/>
      <x:c r="D25" s="27"/>
      <x:c r="E25" s="27"/>
      <x:c r="F25" s="27"/>
      <x:c r="G25" s="27"/>
      <x:c r="H25" s="27"/>
      <x:c r="I25" s="27"/>
      <x:c r="J25" s="26"/>
      <x:c r="K25" s="26"/>
      <x:c r="L25" s="28"/>
      <x:c r="M25" s="27"/>
      <x:c r="N25" s="29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5"/>
      <x:c r="B26" s="26"/>
      <x:c r="C26" s="27"/>
      <x:c r="D26" s="27"/>
      <x:c r="E26" s="27"/>
      <x:c r="F26" s="27"/>
      <x:c r="G26" s="27"/>
      <x:c r="H26" s="27"/>
      <x:c r="I26" s="27"/>
      <x:c r="J26" s="26"/>
      <x:c r="K26" s="26"/>
      <x:c r="L26" s="28"/>
      <x:c r="M26" s="27"/>
      <x:c r="N26" s="29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5"/>
      <x:c r="B27" s="26"/>
      <x:c r="C27" s="27"/>
      <x:c r="D27" s="27"/>
      <x:c r="E27" s="27"/>
      <x:c r="F27" s="27"/>
      <x:c r="G27" s="27"/>
      <x:c r="H27" s="27"/>
      <x:c r="I27" s="27"/>
      <x:c r="J27" s="26"/>
      <x:c r="K27" s="26"/>
      <x:c r="L27" s="28"/>
      <x:c r="M27" s="27"/>
      <x:c r="N27" s="29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5"/>
      <x:c r="B28" s="26"/>
      <x:c r="C28" s="27"/>
      <x:c r="D28" s="27"/>
      <x:c r="E28" s="27"/>
      <x:c r="F28" s="27"/>
      <x:c r="G28" s="27"/>
      <x:c r="H28" s="27"/>
      <x:c r="I28" s="27"/>
      <x:c r="J28" s="26"/>
      <x:c r="K28" s="26"/>
      <x:c r="L28" s="28"/>
      <x:c r="M28" s="27"/>
      <x:c r="N28" s="29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5"/>
      <x:c r="B29" s="26"/>
      <x:c r="C29" s="27"/>
      <x:c r="D29" s="27"/>
      <x:c r="E29" s="27"/>
      <x:c r="F29" s="27"/>
      <x:c r="G29" s="27"/>
      <x:c r="H29" s="27"/>
      <x:c r="I29" s="27"/>
      <x:c r="J29" s="26"/>
      <x:c r="K29" s="26"/>
      <x:c r="L29" s="28"/>
      <x:c r="M29" s="27"/>
      <x:c r="N29" s="29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5"/>
      <x:c r="B30" s="26"/>
      <x:c r="C30" s="27"/>
      <x:c r="D30" s="27"/>
      <x:c r="E30" s="27"/>
      <x:c r="F30" s="27"/>
      <x:c r="G30" s="27"/>
      <x:c r="H30" s="27"/>
      <x:c r="I30" s="27"/>
      <x:c r="J30" s="26"/>
      <x:c r="K30" s="26"/>
      <x:c r="L30" s="28"/>
      <x:c r="M30" s="27"/>
      <x:c r="N30" s="29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5"/>
      <x:c r="B31" s="26"/>
      <x:c r="C31" s="27"/>
      <x:c r="D31" s="27"/>
      <x:c r="E31" s="27"/>
      <x:c r="F31" s="27"/>
      <x:c r="G31" s="27"/>
      <x:c r="H31" s="27"/>
      <x:c r="I31" s="27"/>
      <x:c r="J31" s="26"/>
      <x:c r="K31" s="26"/>
      <x:c r="L31" s="28"/>
      <x:c r="M31" s="27"/>
      <x:c r="N31" s="29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5"/>
      <x:c r="B32" s="26"/>
      <x:c r="C32" s="27"/>
      <x:c r="D32" s="27"/>
      <x:c r="E32" s="27"/>
      <x:c r="F32" s="27"/>
      <x:c r="G32" s="27"/>
      <x:c r="H32" s="27"/>
      <x:c r="I32" s="27"/>
      <x:c r="J32" s="26"/>
      <x:c r="K32" s="26"/>
      <x:c r="L32" s="28"/>
      <x:c r="M32" s="27"/>
      <x:c r="N32" s="29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5"/>
      <x:c r="B33" s="26"/>
      <x:c r="C33" s="27"/>
      <x:c r="D33" s="27"/>
      <x:c r="E33" s="27"/>
      <x:c r="F33" s="27"/>
      <x:c r="G33" s="27"/>
      <x:c r="H33" s="27"/>
      <x:c r="I33" s="27"/>
      <x:c r="J33" s="26"/>
      <x:c r="K33" s="26"/>
      <x:c r="L33" s="28"/>
      <x:c r="M33" s="27"/>
      <x:c r="N33" s="29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5"/>
      <x:c r="B34" s="26"/>
      <x:c r="C34" s="27"/>
      <x:c r="D34" s="27"/>
      <x:c r="E34" s="27"/>
      <x:c r="F34" s="27"/>
      <x:c r="G34" s="27"/>
      <x:c r="H34" s="27"/>
      <x:c r="I34" s="27"/>
      <x:c r="J34" s="26"/>
      <x:c r="K34" s="26"/>
      <x:c r="L34" s="28"/>
      <x:c r="M34" s="27"/>
      <x:c r="N34" s="29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5"/>
      <x:c r="B35" s="26"/>
      <x:c r="C35" s="27"/>
      <x:c r="D35" s="27"/>
      <x:c r="E35" s="27"/>
      <x:c r="F35" s="27"/>
      <x:c r="G35" s="27"/>
      <x:c r="H35" s="27"/>
      <x:c r="I35" s="27"/>
      <x:c r="J35" s="26"/>
      <x:c r="K35" s="26"/>
      <x:c r="L35" s="28"/>
      <x:c r="M35" s="27"/>
      <x:c r="N35" s="29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5"/>
      <x:c r="B36" s="26"/>
      <x:c r="C36" s="27"/>
      <x:c r="D36" s="27"/>
      <x:c r="E36" s="27"/>
      <x:c r="F36" s="27"/>
      <x:c r="G36" s="27"/>
      <x:c r="H36" s="27"/>
      <x:c r="I36" s="27"/>
      <x:c r="J36" s="26"/>
      <x:c r="K36" s="26"/>
      <x:c r="L36" s="28"/>
      <x:c r="M36" s="27"/>
      <x:c r="N36" s="29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5"/>
      <x:c r="B37" s="26"/>
      <x:c r="C37" s="27"/>
      <x:c r="D37" s="27"/>
      <x:c r="E37" s="27"/>
      <x:c r="F37" s="27"/>
      <x:c r="G37" s="27"/>
      <x:c r="H37" s="27"/>
      <x:c r="I37" s="27"/>
      <x:c r="J37" s="26"/>
      <x:c r="K37" s="26"/>
      <x:c r="L37" s="28"/>
      <x:c r="M37" s="27"/>
      <x:c r="N37" s="29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5"/>
      <x:c r="B38" s="26"/>
      <x:c r="C38" s="27"/>
      <x:c r="D38" s="27"/>
      <x:c r="E38" s="27"/>
      <x:c r="F38" s="27"/>
      <x:c r="G38" s="27"/>
      <x:c r="H38" s="27"/>
      <x:c r="I38" s="27"/>
      <x:c r="J38" s="26"/>
      <x:c r="K38" s="26"/>
      <x:c r="L38" s="28"/>
      <x:c r="M38" s="27"/>
      <x:c r="N38" s="29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5"/>
      <x:c r="B39" s="26"/>
      <x:c r="C39" s="27"/>
      <x:c r="D39" s="27"/>
      <x:c r="E39" s="27"/>
      <x:c r="F39" s="27"/>
      <x:c r="G39" s="27"/>
      <x:c r="H39" s="27"/>
      <x:c r="I39" s="27"/>
      <x:c r="J39" s="26"/>
      <x:c r="K39" s="26"/>
      <x:c r="L39" s="28"/>
      <x:c r="M39" s="27"/>
      <x:c r="N39" s="29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5"/>
      <x:c r="B40" s="26"/>
      <x:c r="C40" s="27"/>
      <x:c r="D40" s="27"/>
      <x:c r="E40" s="27"/>
      <x:c r="F40" s="27"/>
      <x:c r="G40" s="27"/>
      <x:c r="H40" s="27"/>
      <x:c r="I40" s="27"/>
      <x:c r="J40" s="26"/>
      <x:c r="K40" s="26"/>
      <x:c r="L40" s="28"/>
      <x:c r="M40" s="27"/>
      <x:c r="N40" s="29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5"/>
      <x:c r="B41" s="26"/>
      <x:c r="C41" s="27"/>
      <x:c r="D41" s="27"/>
      <x:c r="E41" s="27"/>
      <x:c r="F41" s="27"/>
      <x:c r="G41" s="27"/>
      <x:c r="H41" s="27"/>
      <x:c r="I41" s="27"/>
      <x:c r="J41" s="26"/>
      <x:c r="K41" s="26"/>
      <x:c r="L41" s="28"/>
      <x:c r="M41" s="27"/>
      <x:c r="N41" s="29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5"/>
      <x:c r="B42" s="26"/>
      <x:c r="C42" s="27"/>
      <x:c r="D42" s="27"/>
      <x:c r="E42" s="27"/>
      <x:c r="F42" s="27"/>
      <x:c r="G42" s="27"/>
      <x:c r="H42" s="27"/>
      <x:c r="I42" s="27"/>
      <x:c r="J42" s="26"/>
      <x:c r="K42" s="26"/>
      <x:c r="L42" s="28"/>
      <x:c r="M42" s="27"/>
      <x:c r="N42" s="29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5"/>
      <x:c r="B43" s="26"/>
      <x:c r="C43" s="27"/>
      <x:c r="D43" s="27"/>
      <x:c r="E43" s="27"/>
      <x:c r="F43" s="27"/>
      <x:c r="G43" s="27"/>
      <x:c r="H43" s="27"/>
      <x:c r="I43" s="27"/>
      <x:c r="J43" s="26"/>
      <x:c r="K43" s="26"/>
      <x:c r="L43" s="28"/>
      <x:c r="M43" s="27"/>
      <x:c r="N43" s="29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5"/>
      <x:c r="B44" s="26"/>
      <x:c r="C44" s="27"/>
      <x:c r="D44" s="27"/>
      <x:c r="E44" s="27"/>
      <x:c r="F44" s="27"/>
      <x:c r="G44" s="27"/>
      <x:c r="H44" s="27"/>
      <x:c r="I44" s="27"/>
      <x:c r="J44" s="26"/>
      <x:c r="K44" s="26"/>
      <x:c r="L44" s="28"/>
      <x:c r="M44" s="27"/>
      <x:c r="N44" s="29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5"/>
      <x:c r="B45" s="26"/>
      <x:c r="C45" s="27"/>
      <x:c r="D45" s="27"/>
      <x:c r="E45" s="27"/>
      <x:c r="F45" s="27"/>
      <x:c r="G45" s="27"/>
      <x:c r="H45" s="27"/>
      <x:c r="I45" s="27"/>
      <x:c r="J45" s="26"/>
      <x:c r="K45" s="26"/>
      <x:c r="L45" s="28"/>
      <x:c r="M45" s="27"/>
      <x:c r="N45" s="29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5"/>
      <x:c r="B46" s="26"/>
      <x:c r="C46" s="27"/>
      <x:c r="D46" s="27"/>
      <x:c r="E46" s="27"/>
      <x:c r="F46" s="27"/>
      <x:c r="G46" s="27"/>
      <x:c r="H46" s="27"/>
      <x:c r="I46" s="27"/>
      <x:c r="J46" s="26"/>
      <x:c r="K46" s="26"/>
      <x:c r="L46" s="28"/>
      <x:c r="M46" s="27"/>
      <x:c r="N46" s="29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5"/>
      <x:c r="B47" s="26"/>
      <x:c r="C47" s="27"/>
      <x:c r="D47" s="27"/>
      <x:c r="E47" s="27"/>
      <x:c r="F47" s="27"/>
      <x:c r="G47" s="27"/>
      <x:c r="H47" s="27"/>
      <x:c r="I47" s="27"/>
      <x:c r="J47" s="26"/>
      <x:c r="K47" s="26"/>
      <x:c r="L47" s="28"/>
      <x:c r="M47" s="27"/>
      <x:c r="N47" s="29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5"/>
      <x:c r="B48" s="26"/>
      <x:c r="C48" s="27"/>
      <x:c r="D48" s="27"/>
      <x:c r="E48" s="27"/>
      <x:c r="F48" s="27"/>
      <x:c r="G48" s="27"/>
      <x:c r="H48" s="27"/>
      <x:c r="I48" s="27"/>
      <x:c r="J48" s="26"/>
      <x:c r="K48" s="26"/>
      <x:c r="L48" s="28"/>
      <x:c r="M48" s="27"/>
      <x:c r="N48" s="29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5"/>
      <x:c r="B49" s="26"/>
      <x:c r="C49" s="27"/>
      <x:c r="D49" s="27"/>
      <x:c r="E49" s="27"/>
      <x:c r="F49" s="27"/>
      <x:c r="G49" s="27"/>
      <x:c r="H49" s="27"/>
      <x:c r="I49" s="27"/>
      <x:c r="J49" s="26"/>
      <x:c r="K49" s="26"/>
      <x:c r="L49" s="28"/>
      <x:c r="M49" s="27"/>
      <x:c r="N49" s="29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5"/>
      <x:c r="B50" s="26"/>
      <x:c r="C50" s="27"/>
      <x:c r="D50" s="27"/>
      <x:c r="E50" s="27"/>
      <x:c r="F50" s="27"/>
      <x:c r="G50" s="27"/>
      <x:c r="H50" s="27"/>
      <x:c r="I50" s="27"/>
      <x:c r="J50" s="26"/>
      <x:c r="K50" s="26"/>
      <x:c r="L50" s="28"/>
      <x:c r="M50" s="27"/>
      <x:c r="N50" s="29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5"/>
      <x:c r="B51" s="26"/>
      <x:c r="C51" s="27"/>
      <x:c r="D51" s="27"/>
      <x:c r="E51" s="27"/>
      <x:c r="F51" s="27"/>
      <x:c r="G51" s="27"/>
      <x:c r="H51" s="27"/>
      <x:c r="I51" s="27"/>
      <x:c r="J51" s="26"/>
      <x:c r="K51" s="26"/>
      <x:c r="L51" s="28"/>
      <x:c r="M51" s="27"/>
      <x:c r="N51" s="29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5"/>
      <x:c r="B52" s="26"/>
      <x:c r="C52" s="27"/>
      <x:c r="D52" s="27"/>
      <x:c r="E52" s="27"/>
      <x:c r="F52" s="27"/>
      <x:c r="G52" s="27"/>
      <x:c r="H52" s="27"/>
      <x:c r="I52" s="27"/>
      <x:c r="J52" s="26"/>
      <x:c r="K52" s="26"/>
      <x:c r="L52" s="28"/>
      <x:c r="M52" s="27"/>
      <x:c r="N52" s="29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5"/>
      <x:c r="B53" s="26"/>
      <x:c r="C53" s="27"/>
      <x:c r="D53" s="27"/>
      <x:c r="E53" s="27"/>
      <x:c r="F53" s="27"/>
      <x:c r="G53" s="27"/>
      <x:c r="H53" s="27"/>
      <x:c r="I53" s="27"/>
      <x:c r="J53" s="26"/>
      <x:c r="K53" s="26"/>
      <x:c r="L53" s="28"/>
      <x:c r="M53" s="27"/>
      <x:c r="N53" s="29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5"/>
      <x:c r="B54" s="26"/>
      <x:c r="C54" s="27"/>
      <x:c r="D54" s="27"/>
      <x:c r="E54" s="27"/>
      <x:c r="F54" s="27"/>
      <x:c r="G54" s="27"/>
      <x:c r="H54" s="27"/>
      <x:c r="I54" s="27"/>
      <x:c r="J54" s="26"/>
      <x:c r="K54" s="26"/>
      <x:c r="L54" s="28"/>
      <x:c r="M54" s="27"/>
      <x:c r="N54" s="29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5"/>
      <x:c r="B55" s="26"/>
      <x:c r="C55" s="27"/>
      <x:c r="D55" s="27"/>
      <x:c r="E55" s="27"/>
      <x:c r="F55" s="27"/>
      <x:c r="G55" s="27"/>
      <x:c r="H55" s="27"/>
      <x:c r="I55" s="27"/>
      <x:c r="J55" s="26"/>
      <x:c r="K55" s="26"/>
      <x:c r="L55" s="28"/>
      <x:c r="M55" s="27"/>
      <x:c r="N55" s="29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5"/>
      <x:c r="B56" s="26"/>
      <x:c r="C56" s="27"/>
      <x:c r="D56" s="27"/>
      <x:c r="E56" s="27"/>
      <x:c r="F56" s="27"/>
      <x:c r="G56" s="27"/>
      <x:c r="H56" s="27"/>
      <x:c r="I56" s="27"/>
      <x:c r="J56" s="26"/>
      <x:c r="K56" s="26"/>
      <x:c r="L56" s="28"/>
      <x:c r="M56" s="27"/>
      <x:c r="N56" s="29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5"/>
      <x:c r="B57" s="26"/>
      <x:c r="C57" s="27"/>
      <x:c r="D57" s="27"/>
      <x:c r="E57" s="27"/>
      <x:c r="F57" s="27"/>
      <x:c r="G57" s="27"/>
      <x:c r="H57" s="27"/>
      <x:c r="I57" s="27"/>
      <x:c r="J57" s="26"/>
      <x:c r="K57" s="26"/>
      <x:c r="L57" s="28"/>
      <x:c r="M57" s="27"/>
      <x:c r="N57" s="29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5"/>
      <x:c r="B58" s="26"/>
      <x:c r="C58" s="27"/>
      <x:c r="D58" s="27"/>
      <x:c r="E58" s="27"/>
      <x:c r="F58" s="27"/>
      <x:c r="G58" s="27"/>
      <x:c r="H58" s="27"/>
      <x:c r="I58" s="27"/>
      <x:c r="J58" s="26"/>
      <x:c r="K58" s="26"/>
      <x:c r="L58" s="28"/>
      <x:c r="M58" s="27"/>
      <x:c r="N58" s="29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5"/>
      <x:c r="B59" s="26"/>
      <x:c r="C59" s="27"/>
      <x:c r="D59" s="27"/>
      <x:c r="E59" s="27"/>
      <x:c r="F59" s="27"/>
      <x:c r="G59" s="27"/>
      <x:c r="H59" s="27"/>
      <x:c r="I59" s="27"/>
      <x:c r="J59" s="26"/>
      <x:c r="K59" s="26"/>
      <x:c r="L59" s="28"/>
      <x:c r="M59" s="27"/>
      <x:c r="N59" s="29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5"/>
      <x:c r="B60" s="26"/>
      <x:c r="C60" s="27"/>
      <x:c r="D60" s="27"/>
      <x:c r="E60" s="27"/>
      <x:c r="F60" s="27"/>
      <x:c r="G60" s="27"/>
      <x:c r="H60" s="27"/>
      <x:c r="I60" s="27"/>
      <x:c r="J60" s="26"/>
      <x:c r="K60" s="26"/>
      <x:c r="L60" s="28"/>
      <x:c r="M60" s="27"/>
      <x:c r="N60" s="29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5"/>
      <x:c r="B61" s="26"/>
      <x:c r="C61" s="27"/>
      <x:c r="D61" s="27"/>
      <x:c r="E61" s="27"/>
      <x:c r="F61" s="27"/>
      <x:c r="G61" s="27"/>
      <x:c r="H61" s="27"/>
      <x:c r="I61" s="27"/>
      <x:c r="J61" s="26"/>
      <x:c r="K61" s="26"/>
      <x:c r="L61" s="28"/>
      <x:c r="M61" s="27"/>
      <x:c r="N61" s="29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5"/>
      <x:c r="B62" s="26"/>
      <x:c r="C62" s="27"/>
      <x:c r="D62" s="27"/>
      <x:c r="E62" s="27"/>
      <x:c r="F62" s="27"/>
      <x:c r="G62" s="27"/>
      <x:c r="H62" s="27"/>
      <x:c r="I62" s="27"/>
      <x:c r="J62" s="26"/>
      <x:c r="K62" s="26"/>
      <x:c r="L62" s="28"/>
      <x:c r="M62" s="27"/>
      <x:c r="N62" s="29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5"/>
      <x:c r="B63" s="26"/>
      <x:c r="C63" s="27"/>
      <x:c r="D63" s="27"/>
      <x:c r="E63" s="27"/>
      <x:c r="F63" s="27"/>
      <x:c r="G63" s="27"/>
      <x:c r="H63" s="27"/>
      <x:c r="I63" s="27"/>
      <x:c r="J63" s="26"/>
      <x:c r="K63" s="26"/>
      <x:c r="L63" s="28"/>
      <x:c r="M63" s="27"/>
      <x:c r="N63" s="29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5"/>
      <x:c r="B64" s="26"/>
      <x:c r="C64" s="27"/>
      <x:c r="D64" s="27"/>
      <x:c r="E64" s="27"/>
      <x:c r="F64" s="27"/>
      <x:c r="G64" s="27"/>
      <x:c r="H64" s="27"/>
      <x:c r="I64" s="27"/>
      <x:c r="J64" s="26"/>
      <x:c r="K64" s="26"/>
      <x:c r="L64" s="28"/>
      <x:c r="M64" s="27"/>
      <x:c r="N64" s="29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5"/>
      <x:c r="B65" s="26"/>
      <x:c r="C65" s="27"/>
      <x:c r="D65" s="27"/>
      <x:c r="E65" s="27"/>
      <x:c r="F65" s="27"/>
      <x:c r="G65" s="27"/>
      <x:c r="H65" s="27"/>
      <x:c r="I65" s="27"/>
      <x:c r="J65" s="26"/>
      <x:c r="K65" s="26"/>
      <x:c r="L65" s="28"/>
      <x:c r="M65" s="27"/>
      <x:c r="N65" s="29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5"/>
      <x:c r="B66" s="26"/>
      <x:c r="C66" s="27"/>
      <x:c r="D66" s="27"/>
      <x:c r="E66" s="27"/>
      <x:c r="F66" s="27"/>
      <x:c r="G66" s="27"/>
      <x:c r="H66" s="27"/>
      <x:c r="I66" s="27"/>
      <x:c r="J66" s="26"/>
      <x:c r="K66" s="26"/>
      <x:c r="L66" s="28"/>
      <x:c r="M66" s="27"/>
      <x:c r="N66" s="29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5"/>
      <x:c r="B67" s="26"/>
      <x:c r="C67" s="27"/>
      <x:c r="D67" s="27"/>
      <x:c r="E67" s="27"/>
      <x:c r="F67" s="27"/>
      <x:c r="G67" s="27"/>
      <x:c r="H67" s="27"/>
      <x:c r="I67" s="27"/>
      <x:c r="J67" s="26"/>
      <x:c r="K67" s="26"/>
      <x:c r="L67" s="28"/>
      <x:c r="M67" s="27"/>
      <x:c r="N67" s="29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5"/>
      <x:c r="B68" s="26"/>
      <x:c r="C68" s="27"/>
      <x:c r="D68" s="27"/>
      <x:c r="E68" s="27"/>
      <x:c r="F68" s="27"/>
      <x:c r="G68" s="27"/>
      <x:c r="H68" s="27"/>
      <x:c r="I68" s="27"/>
      <x:c r="J68" s="26"/>
      <x:c r="K68" s="26"/>
      <x:c r="L68" s="28"/>
      <x:c r="M68" s="27"/>
      <x:c r="N68" s="29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5"/>
      <x:c r="B69" s="26"/>
      <x:c r="C69" s="27"/>
      <x:c r="D69" s="27"/>
      <x:c r="E69" s="27"/>
      <x:c r="F69" s="27"/>
      <x:c r="G69" s="27"/>
      <x:c r="H69" s="27"/>
      <x:c r="I69" s="27"/>
      <x:c r="J69" s="26"/>
      <x:c r="K69" s="26"/>
      <x:c r="L69" s="28"/>
      <x:c r="M69" s="27"/>
      <x:c r="N69" s="29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5"/>
      <x:c r="B70" s="26"/>
      <x:c r="C70" s="27"/>
      <x:c r="D70" s="27"/>
      <x:c r="E70" s="27"/>
      <x:c r="F70" s="27"/>
      <x:c r="G70" s="27"/>
      <x:c r="H70" s="27"/>
      <x:c r="I70" s="27"/>
      <x:c r="J70" s="26"/>
      <x:c r="K70" s="26"/>
      <x:c r="L70" s="28"/>
      <x:c r="M70" s="27"/>
      <x:c r="N70" s="29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5"/>
      <x:c r="B71" s="26"/>
      <x:c r="C71" s="27"/>
      <x:c r="D71" s="27"/>
      <x:c r="E71" s="27"/>
      <x:c r="F71" s="27"/>
      <x:c r="G71" s="27"/>
      <x:c r="H71" s="27"/>
      <x:c r="I71" s="27"/>
      <x:c r="J71" s="26"/>
      <x:c r="K71" s="26"/>
      <x:c r="L71" s="28"/>
      <x:c r="M71" s="27"/>
      <x:c r="N71" s="29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5"/>
      <x:c r="B72" s="26"/>
      <x:c r="C72" s="27"/>
      <x:c r="D72" s="27"/>
      <x:c r="E72" s="27"/>
      <x:c r="F72" s="27"/>
      <x:c r="G72" s="27"/>
      <x:c r="H72" s="27"/>
      <x:c r="I72" s="27"/>
      <x:c r="J72" s="26"/>
      <x:c r="K72" s="26"/>
      <x:c r="L72" s="28"/>
      <x:c r="M72" s="27"/>
      <x:c r="N72" s="29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5"/>
      <x:c r="B73" s="26"/>
      <x:c r="C73" s="27"/>
      <x:c r="D73" s="27"/>
      <x:c r="E73" s="27"/>
      <x:c r="F73" s="27"/>
      <x:c r="G73" s="27"/>
      <x:c r="H73" s="27"/>
      <x:c r="I73" s="27"/>
      <x:c r="J73" s="26"/>
      <x:c r="K73" s="26"/>
      <x:c r="L73" s="28"/>
      <x:c r="M73" s="27"/>
      <x:c r="N73" s="29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5"/>
      <x:c r="B74" s="26"/>
      <x:c r="C74" s="27"/>
      <x:c r="D74" s="27"/>
      <x:c r="E74" s="27"/>
      <x:c r="F74" s="27"/>
      <x:c r="G74" s="27"/>
      <x:c r="H74" s="27"/>
      <x:c r="I74" s="27"/>
      <x:c r="J74" s="26"/>
      <x:c r="K74" s="26"/>
      <x:c r="L74" s="28"/>
      <x:c r="M74" s="27"/>
      <x:c r="N74" s="29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5"/>
      <x:c r="B75" s="26"/>
      <x:c r="C75" s="27"/>
      <x:c r="D75" s="27"/>
      <x:c r="E75" s="27"/>
      <x:c r="F75" s="27"/>
      <x:c r="G75" s="27"/>
      <x:c r="H75" s="27"/>
      <x:c r="I75" s="27"/>
      <x:c r="J75" s="26"/>
      <x:c r="K75" s="26"/>
      <x:c r="L75" s="28"/>
      <x:c r="M75" s="27"/>
      <x:c r="N75" s="29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5"/>
      <x:c r="B76" s="26"/>
      <x:c r="C76" s="27"/>
      <x:c r="D76" s="27"/>
      <x:c r="E76" s="27"/>
      <x:c r="F76" s="27"/>
      <x:c r="G76" s="27"/>
      <x:c r="H76" s="27"/>
      <x:c r="I76" s="27"/>
      <x:c r="J76" s="26"/>
      <x:c r="K76" s="26"/>
      <x:c r="L76" s="28"/>
      <x:c r="M76" s="27"/>
      <x:c r="N76" s="29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5"/>
      <x:c r="B77" s="26"/>
      <x:c r="C77" s="27"/>
      <x:c r="D77" s="27"/>
      <x:c r="E77" s="27"/>
      <x:c r="F77" s="27"/>
      <x:c r="G77" s="27"/>
      <x:c r="H77" s="27"/>
      <x:c r="I77" s="27"/>
      <x:c r="J77" s="26"/>
      <x:c r="K77" s="26"/>
      <x:c r="L77" s="28"/>
      <x:c r="M77" s="27"/>
      <x:c r="N77" s="29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5"/>
      <x:c r="B78" s="26"/>
      <x:c r="C78" s="27"/>
      <x:c r="D78" s="27"/>
      <x:c r="E78" s="27"/>
      <x:c r="F78" s="27"/>
      <x:c r="G78" s="27"/>
      <x:c r="H78" s="27"/>
      <x:c r="I78" s="27"/>
      <x:c r="J78" s="26"/>
      <x:c r="K78" s="26"/>
      <x:c r="L78" s="28"/>
      <x:c r="M78" s="27"/>
      <x:c r="N78" s="29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5"/>
      <x:c r="B79" s="26"/>
      <x:c r="C79" s="27"/>
      <x:c r="D79" s="27"/>
      <x:c r="E79" s="27"/>
      <x:c r="F79" s="27"/>
      <x:c r="G79" s="27"/>
      <x:c r="H79" s="27"/>
      <x:c r="I79" s="27"/>
      <x:c r="J79" s="26"/>
      <x:c r="K79" s="26"/>
      <x:c r="L79" s="28"/>
      <x:c r="M79" s="27"/>
      <x:c r="N79" s="29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5"/>
      <x:c r="B80" s="26"/>
      <x:c r="C80" s="27"/>
      <x:c r="D80" s="27"/>
      <x:c r="E80" s="27"/>
      <x:c r="F80" s="27"/>
      <x:c r="G80" s="27"/>
      <x:c r="H80" s="27"/>
      <x:c r="I80" s="27"/>
      <x:c r="J80" s="26"/>
      <x:c r="K80" s="26"/>
      <x:c r="L80" s="28"/>
      <x:c r="M80" s="27"/>
      <x:c r="N80" s="29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5"/>
      <x:c r="B81" s="26"/>
      <x:c r="C81" s="27"/>
      <x:c r="D81" s="27"/>
      <x:c r="E81" s="27"/>
      <x:c r="F81" s="27"/>
      <x:c r="G81" s="27"/>
      <x:c r="H81" s="27"/>
      <x:c r="I81" s="27"/>
      <x:c r="J81" s="26"/>
      <x:c r="K81" s="26"/>
      <x:c r="L81" s="28"/>
      <x:c r="M81" s="27"/>
      <x:c r="N81" s="29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5"/>
      <x:c r="B82" s="26"/>
      <x:c r="C82" s="27"/>
      <x:c r="D82" s="27"/>
      <x:c r="E82" s="27"/>
      <x:c r="F82" s="27"/>
      <x:c r="G82" s="27"/>
      <x:c r="H82" s="27"/>
      <x:c r="I82" s="27"/>
      <x:c r="J82" s="26"/>
      <x:c r="K82" s="26"/>
      <x:c r="L82" s="28"/>
      <x:c r="M82" s="27"/>
      <x:c r="N82" s="29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5"/>
      <x:c r="B83" s="26"/>
      <x:c r="C83" s="27"/>
      <x:c r="D83" s="27"/>
      <x:c r="E83" s="27"/>
      <x:c r="F83" s="27"/>
      <x:c r="G83" s="27"/>
      <x:c r="H83" s="27"/>
      <x:c r="I83" s="27"/>
      <x:c r="J83" s="26"/>
      <x:c r="K83" s="26"/>
      <x:c r="L83" s="28"/>
      <x:c r="M83" s="27"/>
      <x:c r="N83" s="29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5"/>
      <x:c r="B84" s="26"/>
      <x:c r="C84" s="27"/>
      <x:c r="D84" s="27"/>
      <x:c r="E84" s="27"/>
      <x:c r="F84" s="27"/>
      <x:c r="G84" s="27"/>
      <x:c r="H84" s="27"/>
      <x:c r="I84" s="27"/>
      <x:c r="J84" s="26"/>
      <x:c r="K84" s="26"/>
      <x:c r="L84" s="28"/>
      <x:c r="M84" s="27"/>
      <x:c r="N84" s="29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5"/>
      <x:c r="B85" s="26"/>
      <x:c r="C85" s="27"/>
      <x:c r="D85" s="27"/>
      <x:c r="E85" s="27"/>
      <x:c r="F85" s="27"/>
      <x:c r="G85" s="27"/>
      <x:c r="H85" s="27"/>
      <x:c r="I85" s="27"/>
      <x:c r="J85" s="26"/>
      <x:c r="K85" s="26"/>
      <x:c r="L85" s="28"/>
      <x:c r="M85" s="27"/>
      <x:c r="N85" s="29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5"/>
      <x:c r="B86" s="26"/>
      <x:c r="C86" s="27"/>
      <x:c r="D86" s="27"/>
      <x:c r="E86" s="27"/>
      <x:c r="F86" s="27"/>
      <x:c r="G86" s="27"/>
      <x:c r="H86" s="27"/>
      <x:c r="I86" s="27"/>
      <x:c r="J86" s="26"/>
      <x:c r="K86" s="26"/>
      <x:c r="L86" s="28"/>
      <x:c r="M86" s="27"/>
      <x:c r="N86" s="29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5"/>
      <x:c r="B87" s="26"/>
      <x:c r="C87" s="27"/>
      <x:c r="D87" s="27"/>
      <x:c r="E87" s="27"/>
      <x:c r="F87" s="27"/>
      <x:c r="G87" s="27"/>
      <x:c r="H87" s="27"/>
      <x:c r="I87" s="27"/>
      <x:c r="J87" s="26"/>
      <x:c r="K87" s="26"/>
      <x:c r="L87" s="28"/>
      <x:c r="M87" s="27"/>
      <x:c r="N87" s="29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5"/>
      <x:c r="B88" s="26"/>
      <x:c r="C88" s="27"/>
      <x:c r="D88" s="27"/>
      <x:c r="E88" s="27"/>
      <x:c r="F88" s="27"/>
      <x:c r="G88" s="27"/>
      <x:c r="H88" s="27"/>
      <x:c r="I88" s="27"/>
      <x:c r="J88" s="26"/>
      <x:c r="K88" s="26"/>
      <x:c r="L88" s="28"/>
      <x:c r="M88" s="27"/>
      <x:c r="N88" s="29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5"/>
      <x:c r="B89" s="26"/>
      <x:c r="C89" s="27"/>
      <x:c r="D89" s="27"/>
      <x:c r="E89" s="27"/>
      <x:c r="F89" s="27"/>
      <x:c r="G89" s="27"/>
      <x:c r="H89" s="27"/>
      <x:c r="I89" s="27"/>
      <x:c r="J89" s="26"/>
      <x:c r="K89" s="26"/>
      <x:c r="L89" s="28"/>
      <x:c r="M89" s="27"/>
      <x:c r="N89" s="29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5"/>
      <x:c r="B90" s="26"/>
      <x:c r="C90" s="27"/>
      <x:c r="D90" s="27"/>
      <x:c r="E90" s="27"/>
      <x:c r="F90" s="27"/>
      <x:c r="G90" s="27"/>
      <x:c r="H90" s="27"/>
      <x:c r="I90" s="27"/>
      <x:c r="J90" s="26"/>
      <x:c r="K90" s="26"/>
      <x:c r="L90" s="28"/>
      <x:c r="M90" s="27"/>
      <x:c r="N90" s="29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5"/>
      <x:c r="B91" s="26"/>
      <x:c r="C91" s="27"/>
      <x:c r="D91" s="27"/>
      <x:c r="E91" s="27"/>
      <x:c r="F91" s="27"/>
      <x:c r="G91" s="27"/>
      <x:c r="H91" s="27"/>
      <x:c r="I91" s="27"/>
      <x:c r="J91" s="26"/>
      <x:c r="K91" s="26"/>
      <x:c r="L91" s="28"/>
      <x:c r="M91" s="27"/>
      <x:c r="N91" s="29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5"/>
      <x:c r="B92" s="26"/>
      <x:c r="C92" s="27"/>
      <x:c r="D92" s="27"/>
      <x:c r="E92" s="27"/>
      <x:c r="F92" s="27"/>
      <x:c r="G92" s="27"/>
      <x:c r="H92" s="27"/>
      <x:c r="I92" s="27"/>
      <x:c r="J92" s="26"/>
      <x:c r="K92" s="26"/>
      <x:c r="L92" s="28"/>
      <x:c r="M92" s="27"/>
      <x:c r="N92" s="29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5"/>
      <x:c r="B93" s="26"/>
      <x:c r="C93" s="27"/>
      <x:c r="D93" s="27"/>
      <x:c r="E93" s="27"/>
      <x:c r="F93" s="27"/>
      <x:c r="G93" s="27"/>
      <x:c r="H93" s="27"/>
      <x:c r="I93" s="27"/>
      <x:c r="J93" s="26"/>
      <x:c r="K93" s="26"/>
      <x:c r="L93" s="28"/>
      <x:c r="M93" s="27"/>
      <x:c r="N93" s="29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5"/>
      <x:c r="B94" s="26"/>
      <x:c r="C94" s="27"/>
      <x:c r="D94" s="27"/>
      <x:c r="E94" s="27"/>
      <x:c r="F94" s="27"/>
      <x:c r="G94" s="27"/>
      <x:c r="H94" s="27"/>
      <x:c r="I94" s="27"/>
      <x:c r="J94" s="26"/>
      <x:c r="K94" s="26"/>
      <x:c r="L94" s="28"/>
      <x:c r="M94" s="27"/>
      <x:c r="N94" s="29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5"/>
      <x:c r="B95" s="26"/>
      <x:c r="C95" s="27"/>
      <x:c r="D95" s="27"/>
      <x:c r="E95" s="27"/>
      <x:c r="F95" s="27"/>
      <x:c r="G95" s="27"/>
      <x:c r="H95" s="27"/>
      <x:c r="I95" s="27"/>
      <x:c r="J95" s="26"/>
      <x:c r="K95" s="26"/>
      <x:c r="L95" s="28"/>
      <x:c r="M95" s="27"/>
      <x:c r="N95" s="29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5"/>
      <x:c r="B96" s="26"/>
      <x:c r="C96" s="27"/>
      <x:c r="D96" s="27"/>
      <x:c r="E96" s="27"/>
      <x:c r="F96" s="27"/>
      <x:c r="G96" s="27"/>
      <x:c r="H96" s="27"/>
      <x:c r="I96" s="27"/>
      <x:c r="J96" s="26"/>
      <x:c r="K96" s="26"/>
      <x:c r="L96" s="28"/>
      <x:c r="M96" s="27"/>
      <x:c r="N96" s="29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5"/>
      <x:c r="B97" s="26"/>
      <x:c r="C97" s="27"/>
      <x:c r="D97" s="27"/>
      <x:c r="E97" s="27"/>
      <x:c r="F97" s="27"/>
      <x:c r="G97" s="27"/>
      <x:c r="H97" s="27"/>
      <x:c r="I97" s="27"/>
      <x:c r="J97" s="26"/>
      <x:c r="K97" s="26"/>
      <x:c r="L97" s="28"/>
      <x:c r="M97" s="27"/>
      <x:c r="N97" s="29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5"/>
      <x:c r="B98" s="26"/>
      <x:c r="C98" s="27"/>
      <x:c r="D98" s="27"/>
      <x:c r="E98" s="27"/>
      <x:c r="F98" s="27"/>
      <x:c r="G98" s="27"/>
      <x:c r="H98" s="27"/>
      <x:c r="I98" s="27"/>
      <x:c r="J98" s="26"/>
      <x:c r="K98" s="26"/>
      <x:c r="L98" s="28"/>
      <x:c r="M98" s="27"/>
      <x:c r="N98" s="29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5"/>
      <x:c r="B99" s="26"/>
      <x:c r="C99" s="27"/>
      <x:c r="D99" s="27"/>
      <x:c r="E99" s="27"/>
      <x:c r="F99" s="27"/>
      <x:c r="G99" s="27"/>
      <x:c r="H99" s="27"/>
      <x:c r="I99" s="27"/>
      <x:c r="J99" s="26"/>
      <x:c r="K99" s="26"/>
      <x:c r="L99" s="28"/>
      <x:c r="M99" s="27"/>
      <x:c r="N99" s="29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5"/>
      <x:c r="B100" s="26"/>
      <x:c r="C100" s="27"/>
      <x:c r="D100" s="27"/>
      <x:c r="E100" s="27"/>
      <x:c r="F100" s="27"/>
      <x:c r="G100" s="27"/>
      <x:c r="H100" s="27"/>
      <x:c r="I100" s="27"/>
      <x:c r="J100" s="26"/>
      <x:c r="K100" s="26"/>
      <x:c r="L100" s="28"/>
      <x:c r="M100" s="27"/>
      <x:c r="N100" s="29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5"/>
      <x:c r="B101" s="26"/>
      <x:c r="C101" s="27"/>
      <x:c r="D101" s="27"/>
      <x:c r="E101" s="27"/>
      <x:c r="F101" s="27"/>
      <x:c r="G101" s="27"/>
      <x:c r="H101" s="27"/>
      <x:c r="I101" s="27"/>
      <x:c r="J101" s="26"/>
      <x:c r="K101" s="26"/>
      <x:c r="L101" s="28"/>
      <x:c r="M101" s="27"/>
      <x:c r="N101" s="29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5"/>
      <x:c r="B102" s="26"/>
      <x:c r="C102" s="27"/>
      <x:c r="D102" s="27"/>
      <x:c r="E102" s="27"/>
      <x:c r="F102" s="27"/>
      <x:c r="G102" s="27"/>
      <x:c r="H102" s="27"/>
      <x:c r="I102" s="27"/>
      <x:c r="J102" s="26"/>
      <x:c r="K102" s="26"/>
      <x:c r="L102" s="28"/>
      <x:c r="M102" s="27"/>
      <x:c r="N102" s="29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5"/>
      <x:c r="B103" s="26"/>
      <x:c r="C103" s="27"/>
      <x:c r="D103" s="27"/>
      <x:c r="E103" s="27"/>
      <x:c r="F103" s="27"/>
      <x:c r="G103" s="27"/>
      <x:c r="H103" s="27"/>
      <x:c r="I103" s="27"/>
      <x:c r="J103" s="26"/>
      <x:c r="K103" s="26"/>
      <x:c r="L103" s="28"/>
      <x:c r="M103" s="27"/>
      <x:c r="N103" s="29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30"/>
      <x:c r="B104" s="31"/>
      <x:c r="C104" s="32"/>
      <x:c r="D104" s="32"/>
      <x:c r="E104" s="32"/>
      <x:c r="F104" s="32"/>
      <x:c r="G104" s="32"/>
      <x:c r="H104" s="32"/>
      <x:c r="I104" s="32"/>
      <x:c r="J104" s="31"/>
      <x:c r="K104" s="31"/>
      <x:c r="L104" s="33"/>
      <x:c r="M104" s="32"/>
      <x:c r="N104" s="34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N1"/>
    <x:mergeCell ref="A2:H2"/>
  </x:mergeCells>
  <x:conditionalFormatting sqref="I5:I104">
    <x:cfRule type="containsText" dxfId="0" priority="1" operator="containsText" text="Delivered"/>
    <x:cfRule type="containsText" dxfId="1" priority="2" operator="containsText" text="Ready"/>
  </x:conditionalFormatting>
  <x:conditionalFormatting sqref="M5:M104">
    <x:cfRule type="containsText" dxfId="2" priority="3" operator="containsText" text="Unpaid"/>
  </x:conditionalFormatting>
  <x:pageMargins left="0.7" right="0.7" top="0.75" bottom="0.75" header="0.3" footer="0.3"/>
  <x:tableParts count="1">
    <x:tablePart xmlns:r="http://schemas.openxmlformats.org/officeDocument/2006/relationships" r:id="Rd68864e5d00049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.109999656677246" hidden="0" customWidth="1"/>
    <x:col min="3" max="3" width="13.670000076293945" hidden="0" customWidth="1"/>
    <x:col min="4" max="4" width="10.5600004196167" hidden="0" customWidth="1"/>
    <x:col min="5" max="5" width="6.440000057220459" hidden="0" customWidth="1"/>
    <x:col min="6" max="6" width="10.670000076293945" hidden="0" customWidth="1"/>
    <x:col min="7" max="7" width="9.670000076293945" hidden="0" customWidth="1"/>
    <x:col min="8" max="8" width="4.670000076293945" hidden="0" customWidth="1"/>
  </x:cols>
  <x:sheetData>
    <x:row r="1">
      <x:c r="A1" s="4" t="str">
        <x:v>Order Item Details</x:v>
      </x:c>
      <x:c r="B1" s="4" t="str">
        <x:v>Order Item Details</x:v>
      </x:c>
      <x:c r="C1" s="4" t="str">
        <x:v>Order Item Details</x:v>
      </x:c>
      <x:c r="D1" s="4" t="str">
        <x:v>Order Item Details</x:v>
      </x:c>
      <x:c r="E1" s="4" t="str">
        <x:v>Order Item Details</x:v>
      </x:c>
      <x:c r="F1" s="4" t="str">
        <x:v>Order Item Details</x:v>
      </x:c>
      <x:c r="G1" s="4" t="str">
        <x:v>Order Item Details</x:v>
      </x:c>
      <x:c r="H1" s="4" t="str">
        <x:v>Order Item Details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5" t="str">
        <x:v>Line-item tracker for garments, quantities, service selection and subtotal.</x:v>
      </x:c>
      <x:c r="B2" s="5" t="str">
        <x:v>Line-item tracker for garments, quantities, service selection and subtotal.</x:v>
      </x:c>
      <x:c r="C2" s="5" t="str">
        <x:v>Line-item tracker for garments, quantities, service selection and subtotal.</x:v>
      </x:c>
      <x:c r="D2" s="5" t="str">
        <x:v>Line-item tracker for garments, quantities, service selection and subtotal.</x:v>
      </x:c>
      <x:c r="E2" s="5" t="str">
        <x:v>Line-item tracker for garments, quantities, service selection and subtotal.</x:v>
      </x:c>
      <x:c r="F2" s="5" t="str">
        <x:v>Line-item tracker for garments, quantities, service selection and subtotal.</x:v>
      </x:c>
      <x:c r="G2" s="5" t="str">
        <x:v>Line-item tracker for garments, quantities, service selection and subtotal.</x:v>
      </x:c>
      <x:c r="H2" s="5" t="str">
        <x:v>Line-item tracker for garments, quantities, service selection and subtotal.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2" t="str">
        <x:v>Order ID</x:v>
      </x:c>
      <x:c r="B4" s="23" t="str">
        <x:v>Item</x:v>
      </x:c>
      <x:c r="C4" s="23" t="str">
        <x:v>Category</x:v>
      </x:c>
      <x:c r="D4" s="23" t="str">
        <x:v>Service</x:v>
      </x:c>
      <x:c r="E4" s="23" t="str">
        <x:v>Quantity</x:v>
      </x:c>
      <x:c r="F4" s="23" t="str">
        <x:v>Unit Price TZS</x:v>
      </x:c>
      <x:c r="G4" s="23" t="str">
        <x:v>Subtotal TZS</x:v>
      </x:c>
      <x:c r="H4" s="24" t="str">
        <x:v>Notes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5" t="str">
        <x:v>YL-2026-1001</x:v>
      </x:c>
      <x:c r="B5" s="27" t="str">
        <x:v>Shirt</x:v>
      </x:c>
      <x:c r="C5" s="27" t="str">
        <x:v>Men’s Clothing</x:v>
      </x:c>
      <x:c r="D5" s="27" t="str">
        <x:v>Wash &amp; Press</x:v>
      </x:c>
      <x:c r="E5" s="28" t="n">
        <x:v>3</x:v>
      </x:c>
      <x:c r="F5" s="28" t="n">
        <x:v>1500</x:v>
      </x:c>
      <x:c r="G5" s="28" t="n">
        <x:v>4500</x:v>
      </x:c>
      <x:c r="H5" s="29" t="str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5" t="str">
        <x:v>YL-2026-1001</x:v>
      </x:c>
      <x:c r="B6" s="27" t="str">
        <x:v>Jeans Trousers</x:v>
      </x:c>
      <x:c r="C6" s="27" t="str">
        <x:v>Men’s Clothing</x:v>
      </x:c>
      <x:c r="D6" s="27" t="str">
        <x:v>Wash &amp; Press</x:v>
      </x:c>
      <x:c r="E6" s="28" t="n">
        <x:v>2</x:v>
      </x:c>
      <x:c r="F6" s="28" t="n">
        <x:v>2000</x:v>
      </x:c>
      <x:c r="G6" s="28" t="n">
        <x:v>4000</x:v>
      </x:c>
      <x:c r="H6" s="29" t="str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5" t="str">
        <x:v>YL-2026-1001</x:v>
      </x:c>
      <x:c r="B7" s="27" t="str">
        <x:v>Bath Towel Large</x:v>
      </x:c>
      <x:c r="C7" s="27" t="str">
        <x:v>Household Items</x:v>
      </x:c>
      <x:c r="D7" s="27" t="str">
        <x:v>Wash &amp; Press</x:v>
      </x:c>
      <x:c r="E7" s="28" t="n">
        <x:v>2</x:v>
      </x:c>
      <x:c r="F7" s="28" t="n">
        <x:v>2500</x:v>
      </x:c>
      <x:c r="G7" s="28" t="n">
        <x:v>5000</x:v>
      </x:c>
      <x:c r="H7" s="29" t="str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5" t="str">
        <x:v>YL-2026-1002</x:v>
      </x:c>
      <x:c r="B8" s="27" t="str">
        <x:v>Blazer</x:v>
      </x:c>
      <x:c r="C8" s="27" t="str">
        <x:v>Men’s Clothing</x:v>
      </x:c>
      <x:c r="D8" s="27" t="str">
        <x:v>Dry Only</x:v>
      </x:c>
      <x:c r="E8" s="28" t="n">
        <x:v>2</x:v>
      </x:c>
      <x:c r="F8" s="28" t="n">
        <x:v>3000</x:v>
      </x:c>
      <x:c r="G8" s="28" t="n">
        <x:v>6000</x:v>
      </x:c>
      <x:c r="H8" s="29" t="str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5" t="str">
        <x:v>YL-2026-1002</x:v>
      </x:c>
      <x:c r="B9" s="27" t="str">
        <x:v>Special Dress</x:v>
      </x:c>
      <x:c r="C9" s="27" t="str">
        <x:v>Women’s Clothing</x:v>
      </x:c>
      <x:c r="D9" s="27" t="str">
        <x:v>Dry Only</x:v>
      </x:c>
      <x:c r="E9" s="28" t="n">
        <x:v>3</x:v>
      </x:c>
      <x:c r="F9" s="28" t="n">
        <x:v>4000</x:v>
      </x:c>
      <x:c r="G9" s="28" t="n">
        <x:v>12000</x:v>
      </x:c>
      <x:c r="H9" s="29" t="str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5" t="str">
        <x:v>YL-2026-1003</x:v>
      </x:c>
      <x:c r="B10" s="27" t="str">
        <x:v>Double Bedsheet</x:v>
      </x:c>
      <x:c r="C10" s="27" t="str">
        <x:v>Household Items</x:v>
      </x:c>
      <x:c r="D10" s="27" t="str">
        <x:v>Wash &amp; Press</x:v>
      </x:c>
      <x:c r="E10" s="28" t="n">
        <x:v>12</x:v>
      </x:c>
      <x:c r="F10" s="28" t="n">
        <x:v>3500</x:v>
      </x:c>
      <x:c r="G10" s="28" t="n">
        <x:v>42000</x:v>
      </x:c>
      <x:c r="H10" s="29" t="str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5" t="str">
        <x:v>YL-2026-1003</x:v>
      </x:c>
      <x:c r="B11" s="27" t="str">
        <x:v>Bath Towel Large</x:v>
      </x:c>
      <x:c r="C11" s="27" t="str">
        <x:v>Household Items</x:v>
      </x:c>
      <x:c r="D11" s="27" t="str">
        <x:v>Wash &amp; Press</x:v>
      </x:c>
      <x:c r="E11" s="28" t="n">
        <x:v>20</x:v>
      </x:c>
      <x:c r="F11" s="28" t="n">
        <x:v>2500</x:v>
      </x:c>
      <x:c r="G11" s="28" t="n">
        <x:v>50000</x:v>
      </x:c>
      <x:c r="H11" s="29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5" t="str">
        <x:v>YL-2026-1004</x:v>
      </x:c>
      <x:c r="B12" s="27" t="str">
        <x:v>Plain Dress</x:v>
      </x:c>
      <x:c r="C12" s="27" t="str">
        <x:v>Women’s Clothing</x:v>
      </x:c>
      <x:c r="D12" s="27" t="str">
        <x:v>Wash &amp; Press</x:v>
      </x:c>
      <x:c r="E12" s="28" t="n">
        <x:v>2</x:v>
      </x:c>
      <x:c r="F12" s="28" t="n">
        <x:v>2000</x:v>
      </x:c>
      <x:c r="G12" s="28" t="n">
        <x:v>4000</x:v>
      </x:c>
      <x:c r="H12" s="29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5" t="str">
        <x:v>YL-2026-1004</x:v>
      </x:c>
      <x:c r="B13" s="27" t="str">
        <x:v>Hijab</x:v>
      </x:c>
      <x:c r="C13" s="27" t="str">
        <x:v>Women’s Clothing</x:v>
      </x:c>
      <x:c r="D13" s="27" t="str">
        <x:v>Wash &amp; Press</x:v>
      </x:c>
      <x:c r="E13" s="28" t="n">
        <x:v>3</x:v>
      </x:c>
      <x:c r="F13" s="28" t="n">
        <x:v>1000</x:v>
      </x:c>
      <x:c r="G13" s="28" t="n">
        <x:v>3000</x:v>
      </x:c>
      <x:c r="H13" s="29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5"/>
      <x:c r="B14" s="27"/>
      <x:c r="C14" s="27"/>
      <x:c r="D14" s="27"/>
      <x:c r="E14" s="28"/>
      <x:c r="F14" s="28"/>
      <x:c r="G14" s="28"/>
      <x:c r="H14" s="29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5"/>
      <x:c r="B15" s="27"/>
      <x:c r="C15" s="27"/>
      <x:c r="D15" s="27"/>
      <x:c r="E15" s="28"/>
      <x:c r="F15" s="28"/>
      <x:c r="G15" s="28"/>
      <x:c r="H15" s="29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5"/>
      <x:c r="B16" s="27"/>
      <x:c r="C16" s="27"/>
      <x:c r="D16" s="27"/>
      <x:c r="E16" s="28"/>
      <x:c r="F16" s="28"/>
      <x:c r="G16" s="28"/>
      <x:c r="H16" s="29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5"/>
      <x:c r="B17" s="27"/>
      <x:c r="C17" s="27"/>
      <x:c r="D17" s="27"/>
      <x:c r="E17" s="28"/>
      <x:c r="F17" s="28"/>
      <x:c r="G17" s="28"/>
      <x:c r="H17" s="29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5"/>
      <x:c r="B18" s="27"/>
      <x:c r="C18" s="27"/>
      <x:c r="D18" s="27"/>
      <x:c r="E18" s="28"/>
      <x:c r="F18" s="28"/>
      <x:c r="G18" s="28"/>
      <x:c r="H18" s="29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5"/>
      <x:c r="B19" s="27"/>
      <x:c r="C19" s="27"/>
      <x:c r="D19" s="27"/>
      <x:c r="E19" s="28"/>
      <x:c r="F19" s="28"/>
      <x:c r="G19" s="28"/>
      <x:c r="H19" s="29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5"/>
      <x:c r="B20" s="27"/>
      <x:c r="C20" s="27"/>
      <x:c r="D20" s="27"/>
      <x:c r="E20" s="28"/>
      <x:c r="F20" s="28"/>
      <x:c r="G20" s="28"/>
      <x:c r="H20" s="29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5"/>
      <x:c r="B21" s="27"/>
      <x:c r="C21" s="27"/>
      <x:c r="D21" s="27"/>
      <x:c r="E21" s="28"/>
      <x:c r="F21" s="28"/>
      <x:c r="G21" s="28"/>
      <x:c r="H21" s="29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5"/>
      <x:c r="B22" s="27"/>
      <x:c r="C22" s="27"/>
      <x:c r="D22" s="27"/>
      <x:c r="E22" s="28"/>
      <x:c r="F22" s="28"/>
      <x:c r="G22" s="28"/>
      <x:c r="H22" s="29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5"/>
      <x:c r="B23" s="27"/>
      <x:c r="C23" s="27"/>
      <x:c r="D23" s="27"/>
      <x:c r="E23" s="28"/>
      <x:c r="F23" s="28"/>
      <x:c r="G23" s="28"/>
      <x:c r="H23" s="29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5"/>
      <x:c r="B24" s="27"/>
      <x:c r="C24" s="27"/>
      <x:c r="D24" s="27"/>
      <x:c r="E24" s="28"/>
      <x:c r="F24" s="28"/>
      <x:c r="G24" s="28"/>
      <x:c r="H24" s="29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5"/>
      <x:c r="B25" s="27"/>
      <x:c r="C25" s="27"/>
      <x:c r="D25" s="27"/>
      <x:c r="E25" s="28"/>
      <x:c r="F25" s="28"/>
      <x:c r="G25" s="28"/>
      <x:c r="H25" s="29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5"/>
      <x:c r="B26" s="27"/>
      <x:c r="C26" s="27"/>
      <x:c r="D26" s="27"/>
      <x:c r="E26" s="28"/>
      <x:c r="F26" s="28"/>
      <x:c r="G26" s="28"/>
      <x:c r="H26" s="29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5"/>
      <x:c r="B27" s="27"/>
      <x:c r="C27" s="27"/>
      <x:c r="D27" s="27"/>
      <x:c r="E27" s="28"/>
      <x:c r="F27" s="28"/>
      <x:c r="G27" s="28"/>
      <x:c r="H27" s="29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5"/>
      <x:c r="B28" s="27"/>
      <x:c r="C28" s="27"/>
      <x:c r="D28" s="27"/>
      <x:c r="E28" s="28"/>
      <x:c r="F28" s="28"/>
      <x:c r="G28" s="28"/>
      <x:c r="H28" s="29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5"/>
      <x:c r="B29" s="27"/>
      <x:c r="C29" s="27"/>
      <x:c r="D29" s="27"/>
      <x:c r="E29" s="28"/>
      <x:c r="F29" s="28"/>
      <x:c r="G29" s="28"/>
      <x:c r="H29" s="29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5"/>
      <x:c r="B30" s="27"/>
      <x:c r="C30" s="27"/>
      <x:c r="D30" s="27"/>
      <x:c r="E30" s="28"/>
      <x:c r="F30" s="28"/>
      <x:c r="G30" s="28"/>
      <x:c r="H30" s="29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5"/>
      <x:c r="B31" s="27"/>
      <x:c r="C31" s="27"/>
      <x:c r="D31" s="27"/>
      <x:c r="E31" s="28"/>
      <x:c r="F31" s="28"/>
      <x:c r="G31" s="28"/>
      <x:c r="H31" s="29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5"/>
      <x:c r="B32" s="27"/>
      <x:c r="C32" s="27"/>
      <x:c r="D32" s="27"/>
      <x:c r="E32" s="28"/>
      <x:c r="F32" s="28"/>
      <x:c r="G32" s="28"/>
      <x:c r="H32" s="29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5"/>
      <x:c r="B33" s="27"/>
      <x:c r="C33" s="27"/>
      <x:c r="D33" s="27"/>
      <x:c r="E33" s="28"/>
      <x:c r="F33" s="28"/>
      <x:c r="G33" s="28"/>
      <x:c r="H33" s="29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5"/>
      <x:c r="B34" s="27"/>
      <x:c r="C34" s="27"/>
      <x:c r="D34" s="27"/>
      <x:c r="E34" s="28"/>
      <x:c r="F34" s="28"/>
      <x:c r="G34" s="28"/>
      <x:c r="H34" s="29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5"/>
      <x:c r="B35" s="27"/>
      <x:c r="C35" s="27"/>
      <x:c r="D35" s="27"/>
      <x:c r="E35" s="28"/>
      <x:c r="F35" s="28"/>
      <x:c r="G35" s="28"/>
      <x:c r="H35" s="29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5"/>
      <x:c r="B36" s="27"/>
      <x:c r="C36" s="27"/>
      <x:c r="D36" s="27"/>
      <x:c r="E36" s="28"/>
      <x:c r="F36" s="28"/>
      <x:c r="G36" s="28"/>
      <x:c r="H36" s="29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5"/>
      <x:c r="B37" s="27"/>
      <x:c r="C37" s="27"/>
      <x:c r="D37" s="27"/>
      <x:c r="E37" s="28"/>
      <x:c r="F37" s="28"/>
      <x:c r="G37" s="28"/>
      <x:c r="H37" s="29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5"/>
      <x:c r="B38" s="27"/>
      <x:c r="C38" s="27"/>
      <x:c r="D38" s="27"/>
      <x:c r="E38" s="28"/>
      <x:c r="F38" s="28"/>
      <x:c r="G38" s="28"/>
      <x:c r="H38" s="29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5"/>
      <x:c r="B39" s="27"/>
      <x:c r="C39" s="27"/>
      <x:c r="D39" s="27"/>
      <x:c r="E39" s="28"/>
      <x:c r="F39" s="28"/>
      <x:c r="G39" s="28"/>
      <x:c r="H39" s="29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5"/>
      <x:c r="B40" s="27"/>
      <x:c r="C40" s="27"/>
      <x:c r="D40" s="27"/>
      <x:c r="E40" s="28"/>
      <x:c r="F40" s="28"/>
      <x:c r="G40" s="28"/>
      <x:c r="H40" s="29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5"/>
      <x:c r="B41" s="27"/>
      <x:c r="C41" s="27"/>
      <x:c r="D41" s="27"/>
      <x:c r="E41" s="28"/>
      <x:c r="F41" s="28"/>
      <x:c r="G41" s="28"/>
      <x:c r="H41" s="29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5"/>
      <x:c r="B42" s="27"/>
      <x:c r="C42" s="27"/>
      <x:c r="D42" s="27"/>
      <x:c r="E42" s="28"/>
      <x:c r="F42" s="28"/>
      <x:c r="G42" s="28"/>
      <x:c r="H42" s="29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5"/>
      <x:c r="B43" s="27"/>
      <x:c r="C43" s="27"/>
      <x:c r="D43" s="27"/>
      <x:c r="E43" s="28"/>
      <x:c r="F43" s="28"/>
      <x:c r="G43" s="28"/>
      <x:c r="H43" s="29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5"/>
      <x:c r="B44" s="27"/>
      <x:c r="C44" s="27"/>
      <x:c r="D44" s="27"/>
      <x:c r="E44" s="28"/>
      <x:c r="F44" s="28"/>
      <x:c r="G44" s="28"/>
      <x:c r="H44" s="2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5"/>
      <x:c r="B45" s="27"/>
      <x:c r="C45" s="27"/>
      <x:c r="D45" s="27"/>
      <x:c r="E45" s="28"/>
      <x:c r="F45" s="28"/>
      <x:c r="G45" s="28"/>
      <x:c r="H45" s="29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5"/>
      <x:c r="B46" s="27"/>
      <x:c r="C46" s="27"/>
      <x:c r="D46" s="27"/>
      <x:c r="E46" s="28"/>
      <x:c r="F46" s="28"/>
      <x:c r="G46" s="28"/>
      <x:c r="H46" s="29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5"/>
      <x:c r="B47" s="27"/>
      <x:c r="C47" s="27"/>
      <x:c r="D47" s="27"/>
      <x:c r="E47" s="28"/>
      <x:c r="F47" s="28"/>
      <x:c r="G47" s="28"/>
      <x:c r="H47" s="29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5"/>
      <x:c r="B48" s="27"/>
      <x:c r="C48" s="27"/>
      <x:c r="D48" s="27"/>
      <x:c r="E48" s="28"/>
      <x:c r="F48" s="28"/>
      <x:c r="G48" s="28"/>
      <x:c r="H48" s="29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5"/>
      <x:c r="B49" s="27"/>
      <x:c r="C49" s="27"/>
      <x:c r="D49" s="27"/>
      <x:c r="E49" s="28"/>
      <x:c r="F49" s="28"/>
      <x:c r="G49" s="28"/>
      <x:c r="H49" s="29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5"/>
      <x:c r="B50" s="27"/>
      <x:c r="C50" s="27"/>
      <x:c r="D50" s="27"/>
      <x:c r="E50" s="28"/>
      <x:c r="F50" s="28"/>
      <x:c r="G50" s="28"/>
      <x:c r="H50" s="29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5"/>
      <x:c r="B51" s="27"/>
      <x:c r="C51" s="27"/>
      <x:c r="D51" s="27"/>
      <x:c r="E51" s="28"/>
      <x:c r="F51" s="28"/>
      <x:c r="G51" s="28"/>
      <x:c r="H51" s="29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5"/>
      <x:c r="B52" s="27"/>
      <x:c r="C52" s="27"/>
      <x:c r="D52" s="27"/>
      <x:c r="E52" s="28"/>
      <x:c r="F52" s="28"/>
      <x:c r="G52" s="28"/>
      <x:c r="H52" s="29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5"/>
      <x:c r="B53" s="27"/>
      <x:c r="C53" s="27"/>
      <x:c r="D53" s="27"/>
      <x:c r="E53" s="28"/>
      <x:c r="F53" s="28"/>
      <x:c r="G53" s="28"/>
      <x:c r="H53" s="29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5"/>
      <x:c r="B54" s="27"/>
      <x:c r="C54" s="27"/>
      <x:c r="D54" s="27"/>
      <x:c r="E54" s="28"/>
      <x:c r="F54" s="28"/>
      <x:c r="G54" s="28"/>
      <x:c r="H54" s="29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5"/>
      <x:c r="B55" s="27"/>
      <x:c r="C55" s="27"/>
      <x:c r="D55" s="27"/>
      <x:c r="E55" s="28"/>
      <x:c r="F55" s="28"/>
      <x:c r="G55" s="28"/>
      <x:c r="H55" s="29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5"/>
      <x:c r="B56" s="27"/>
      <x:c r="C56" s="27"/>
      <x:c r="D56" s="27"/>
      <x:c r="E56" s="28"/>
      <x:c r="F56" s="28"/>
      <x:c r="G56" s="28"/>
      <x:c r="H56" s="29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5"/>
      <x:c r="B57" s="27"/>
      <x:c r="C57" s="27"/>
      <x:c r="D57" s="27"/>
      <x:c r="E57" s="28"/>
      <x:c r="F57" s="28"/>
      <x:c r="G57" s="28"/>
      <x:c r="H57" s="29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5"/>
      <x:c r="B58" s="27"/>
      <x:c r="C58" s="27"/>
      <x:c r="D58" s="27"/>
      <x:c r="E58" s="28"/>
      <x:c r="F58" s="28"/>
      <x:c r="G58" s="28"/>
      <x:c r="H58" s="29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5"/>
      <x:c r="B59" s="27"/>
      <x:c r="C59" s="27"/>
      <x:c r="D59" s="27"/>
      <x:c r="E59" s="28"/>
      <x:c r="F59" s="28"/>
      <x:c r="G59" s="28"/>
      <x:c r="H59" s="29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5"/>
      <x:c r="B60" s="27"/>
      <x:c r="C60" s="27"/>
      <x:c r="D60" s="27"/>
      <x:c r="E60" s="28"/>
      <x:c r="F60" s="28"/>
      <x:c r="G60" s="28"/>
      <x:c r="H60" s="29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5"/>
      <x:c r="B61" s="27"/>
      <x:c r="C61" s="27"/>
      <x:c r="D61" s="27"/>
      <x:c r="E61" s="28"/>
      <x:c r="F61" s="28"/>
      <x:c r="G61" s="28"/>
      <x:c r="H61" s="29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5"/>
      <x:c r="B62" s="27"/>
      <x:c r="C62" s="27"/>
      <x:c r="D62" s="27"/>
      <x:c r="E62" s="28"/>
      <x:c r="F62" s="28"/>
      <x:c r="G62" s="28"/>
      <x:c r="H62" s="29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5"/>
      <x:c r="B63" s="27"/>
      <x:c r="C63" s="27"/>
      <x:c r="D63" s="27"/>
      <x:c r="E63" s="28"/>
      <x:c r="F63" s="28"/>
      <x:c r="G63" s="28"/>
      <x:c r="H63" s="29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5"/>
      <x:c r="B64" s="27"/>
      <x:c r="C64" s="27"/>
      <x:c r="D64" s="27"/>
      <x:c r="E64" s="28"/>
      <x:c r="F64" s="28"/>
      <x:c r="G64" s="28"/>
      <x:c r="H64" s="29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5"/>
      <x:c r="B65" s="27"/>
      <x:c r="C65" s="27"/>
      <x:c r="D65" s="27"/>
      <x:c r="E65" s="28"/>
      <x:c r="F65" s="28"/>
      <x:c r="G65" s="28"/>
      <x:c r="H65" s="29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5"/>
      <x:c r="B66" s="27"/>
      <x:c r="C66" s="27"/>
      <x:c r="D66" s="27"/>
      <x:c r="E66" s="28"/>
      <x:c r="F66" s="28"/>
      <x:c r="G66" s="28"/>
      <x:c r="H66" s="29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5"/>
      <x:c r="B67" s="27"/>
      <x:c r="C67" s="27"/>
      <x:c r="D67" s="27"/>
      <x:c r="E67" s="28"/>
      <x:c r="F67" s="28"/>
      <x:c r="G67" s="28"/>
      <x:c r="H67" s="29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5"/>
      <x:c r="B68" s="27"/>
      <x:c r="C68" s="27"/>
      <x:c r="D68" s="27"/>
      <x:c r="E68" s="28"/>
      <x:c r="F68" s="28"/>
      <x:c r="G68" s="28"/>
      <x:c r="H68" s="29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5"/>
      <x:c r="B69" s="27"/>
      <x:c r="C69" s="27"/>
      <x:c r="D69" s="27"/>
      <x:c r="E69" s="28"/>
      <x:c r="F69" s="28"/>
      <x:c r="G69" s="28"/>
      <x:c r="H69" s="29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5"/>
      <x:c r="B70" s="27"/>
      <x:c r="C70" s="27"/>
      <x:c r="D70" s="27"/>
      <x:c r="E70" s="28"/>
      <x:c r="F70" s="28"/>
      <x:c r="G70" s="28"/>
      <x:c r="H70" s="29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5"/>
      <x:c r="B71" s="27"/>
      <x:c r="C71" s="27"/>
      <x:c r="D71" s="27"/>
      <x:c r="E71" s="28"/>
      <x:c r="F71" s="28"/>
      <x:c r="G71" s="28"/>
      <x:c r="H71" s="29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5"/>
      <x:c r="B72" s="27"/>
      <x:c r="C72" s="27"/>
      <x:c r="D72" s="27"/>
      <x:c r="E72" s="28"/>
      <x:c r="F72" s="28"/>
      <x:c r="G72" s="28"/>
      <x:c r="H72" s="29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5"/>
      <x:c r="B73" s="27"/>
      <x:c r="C73" s="27"/>
      <x:c r="D73" s="27"/>
      <x:c r="E73" s="28"/>
      <x:c r="F73" s="28"/>
      <x:c r="G73" s="28"/>
      <x:c r="H73" s="29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5"/>
      <x:c r="B74" s="27"/>
      <x:c r="C74" s="27"/>
      <x:c r="D74" s="27"/>
      <x:c r="E74" s="28"/>
      <x:c r="F74" s="28"/>
      <x:c r="G74" s="28"/>
      <x:c r="H74" s="29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5"/>
      <x:c r="B75" s="27"/>
      <x:c r="C75" s="27"/>
      <x:c r="D75" s="27"/>
      <x:c r="E75" s="28"/>
      <x:c r="F75" s="28"/>
      <x:c r="G75" s="28"/>
      <x:c r="H75" s="29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5"/>
      <x:c r="B76" s="27"/>
      <x:c r="C76" s="27"/>
      <x:c r="D76" s="27"/>
      <x:c r="E76" s="28"/>
      <x:c r="F76" s="28"/>
      <x:c r="G76" s="28"/>
      <x:c r="H76" s="29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5"/>
      <x:c r="B77" s="27"/>
      <x:c r="C77" s="27"/>
      <x:c r="D77" s="27"/>
      <x:c r="E77" s="28"/>
      <x:c r="F77" s="28"/>
      <x:c r="G77" s="28"/>
      <x:c r="H77" s="29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5"/>
      <x:c r="B78" s="27"/>
      <x:c r="C78" s="27"/>
      <x:c r="D78" s="27"/>
      <x:c r="E78" s="28"/>
      <x:c r="F78" s="28"/>
      <x:c r="G78" s="28"/>
      <x:c r="H78" s="29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5"/>
      <x:c r="B79" s="27"/>
      <x:c r="C79" s="27"/>
      <x:c r="D79" s="27"/>
      <x:c r="E79" s="28"/>
      <x:c r="F79" s="28"/>
      <x:c r="G79" s="28"/>
      <x:c r="H79" s="29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5"/>
      <x:c r="B80" s="27"/>
      <x:c r="C80" s="27"/>
      <x:c r="D80" s="27"/>
      <x:c r="E80" s="28"/>
      <x:c r="F80" s="28"/>
      <x:c r="G80" s="28"/>
      <x:c r="H80" s="29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5"/>
      <x:c r="B81" s="27"/>
      <x:c r="C81" s="27"/>
      <x:c r="D81" s="27"/>
      <x:c r="E81" s="28"/>
      <x:c r="F81" s="28"/>
      <x:c r="G81" s="28"/>
      <x:c r="H81" s="29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5"/>
      <x:c r="B82" s="27"/>
      <x:c r="C82" s="27"/>
      <x:c r="D82" s="27"/>
      <x:c r="E82" s="28"/>
      <x:c r="F82" s="28"/>
      <x:c r="G82" s="28"/>
      <x:c r="H82" s="29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5"/>
      <x:c r="B83" s="27"/>
      <x:c r="C83" s="27"/>
      <x:c r="D83" s="27"/>
      <x:c r="E83" s="28"/>
      <x:c r="F83" s="28"/>
      <x:c r="G83" s="28"/>
      <x:c r="H83" s="29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5"/>
      <x:c r="B84" s="27"/>
      <x:c r="C84" s="27"/>
      <x:c r="D84" s="27"/>
      <x:c r="E84" s="28"/>
      <x:c r="F84" s="28"/>
      <x:c r="G84" s="28"/>
      <x:c r="H84" s="29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5"/>
      <x:c r="B85" s="27"/>
      <x:c r="C85" s="27"/>
      <x:c r="D85" s="27"/>
      <x:c r="E85" s="28"/>
      <x:c r="F85" s="28"/>
      <x:c r="G85" s="28"/>
      <x:c r="H85" s="29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5"/>
      <x:c r="B86" s="27"/>
      <x:c r="C86" s="27"/>
      <x:c r="D86" s="27"/>
      <x:c r="E86" s="28"/>
      <x:c r="F86" s="28"/>
      <x:c r="G86" s="28"/>
      <x:c r="H86" s="29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5"/>
      <x:c r="B87" s="27"/>
      <x:c r="C87" s="27"/>
      <x:c r="D87" s="27"/>
      <x:c r="E87" s="28"/>
      <x:c r="F87" s="28"/>
      <x:c r="G87" s="28"/>
      <x:c r="H87" s="29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5"/>
      <x:c r="B88" s="27"/>
      <x:c r="C88" s="27"/>
      <x:c r="D88" s="27"/>
      <x:c r="E88" s="28"/>
      <x:c r="F88" s="28"/>
      <x:c r="G88" s="28"/>
      <x:c r="H88" s="29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5"/>
      <x:c r="B89" s="27"/>
      <x:c r="C89" s="27"/>
      <x:c r="D89" s="27"/>
      <x:c r="E89" s="28"/>
      <x:c r="F89" s="28"/>
      <x:c r="G89" s="28"/>
      <x:c r="H89" s="29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5"/>
      <x:c r="B90" s="27"/>
      <x:c r="C90" s="27"/>
      <x:c r="D90" s="27"/>
      <x:c r="E90" s="28"/>
      <x:c r="F90" s="28"/>
      <x:c r="G90" s="28"/>
      <x:c r="H90" s="29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5"/>
      <x:c r="B91" s="27"/>
      <x:c r="C91" s="27"/>
      <x:c r="D91" s="27"/>
      <x:c r="E91" s="28"/>
      <x:c r="F91" s="28"/>
      <x:c r="G91" s="28"/>
      <x:c r="H91" s="29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5"/>
      <x:c r="B92" s="27"/>
      <x:c r="C92" s="27"/>
      <x:c r="D92" s="27"/>
      <x:c r="E92" s="28"/>
      <x:c r="F92" s="28"/>
      <x:c r="G92" s="28"/>
      <x:c r="H92" s="29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5"/>
      <x:c r="B93" s="27"/>
      <x:c r="C93" s="27"/>
      <x:c r="D93" s="27"/>
      <x:c r="E93" s="28"/>
      <x:c r="F93" s="28"/>
      <x:c r="G93" s="28"/>
      <x:c r="H93" s="29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5"/>
      <x:c r="B94" s="27"/>
      <x:c r="C94" s="27"/>
      <x:c r="D94" s="27"/>
      <x:c r="E94" s="28"/>
      <x:c r="F94" s="28"/>
      <x:c r="G94" s="28"/>
      <x:c r="H94" s="29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5"/>
      <x:c r="B95" s="27"/>
      <x:c r="C95" s="27"/>
      <x:c r="D95" s="27"/>
      <x:c r="E95" s="28"/>
      <x:c r="F95" s="28"/>
      <x:c r="G95" s="28"/>
      <x:c r="H95" s="29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5"/>
      <x:c r="B96" s="27"/>
      <x:c r="C96" s="27"/>
      <x:c r="D96" s="27"/>
      <x:c r="E96" s="28"/>
      <x:c r="F96" s="28"/>
      <x:c r="G96" s="28"/>
      <x:c r="H96" s="29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5"/>
      <x:c r="B97" s="27"/>
      <x:c r="C97" s="27"/>
      <x:c r="D97" s="27"/>
      <x:c r="E97" s="28"/>
      <x:c r="F97" s="28"/>
      <x:c r="G97" s="28"/>
      <x:c r="H97" s="29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5"/>
      <x:c r="B98" s="27"/>
      <x:c r="C98" s="27"/>
      <x:c r="D98" s="27"/>
      <x:c r="E98" s="28"/>
      <x:c r="F98" s="28"/>
      <x:c r="G98" s="28"/>
      <x:c r="H98" s="29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5"/>
      <x:c r="B99" s="27"/>
      <x:c r="C99" s="27"/>
      <x:c r="D99" s="27"/>
      <x:c r="E99" s="28"/>
      <x:c r="F99" s="28"/>
      <x:c r="G99" s="28"/>
      <x:c r="H99" s="29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5"/>
      <x:c r="B100" s="27"/>
      <x:c r="C100" s="27"/>
      <x:c r="D100" s="27"/>
      <x:c r="E100" s="28"/>
      <x:c r="F100" s="28"/>
      <x:c r="G100" s="28"/>
      <x:c r="H100" s="29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5"/>
      <x:c r="B101" s="27"/>
      <x:c r="C101" s="27"/>
      <x:c r="D101" s="27"/>
      <x:c r="E101" s="28"/>
      <x:c r="F101" s="28"/>
      <x:c r="G101" s="28"/>
      <x:c r="H101" s="29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5"/>
      <x:c r="B102" s="27"/>
      <x:c r="C102" s="27"/>
      <x:c r="D102" s="27"/>
      <x:c r="E102" s="28"/>
      <x:c r="F102" s="28"/>
      <x:c r="G102" s="28"/>
      <x:c r="H102" s="29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5"/>
      <x:c r="B103" s="27"/>
      <x:c r="C103" s="27"/>
      <x:c r="D103" s="27"/>
      <x:c r="E103" s="28"/>
      <x:c r="F103" s="28"/>
      <x:c r="G103" s="28"/>
      <x:c r="H103" s="29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30"/>
      <x:c r="B104" s="32"/>
      <x:c r="C104" s="32"/>
      <x:c r="D104" s="32"/>
      <x:c r="E104" s="33"/>
      <x:c r="F104" s="33"/>
      <x:c r="G104" s="33"/>
      <x:c r="H104" s="34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cc745029c2b4d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4399995803833" hidden="0" customWidth="1"/>
    <x:col min="2" max="2" width="7.21999979019165" hidden="0" customWidth="1"/>
    <x:col min="3" max="3" width="15.4399995803833" hidden="0" customWidth="1"/>
    <x:col min="4" max="4" width="11.670000076293945" hidden="0" customWidth="1"/>
  </x:cols>
  <x:sheetData>
    <x:row r="1">
      <x:c r="A1" s="4" t="str">
        <x:v>Lookup Lists</x:v>
      </x:c>
      <x:c r="B1" s="4" t="str">
        <x:v>Lookup Lists</x:v>
      </x:c>
      <x:c r="C1" s="4" t="str">
        <x:v>Lookup Lists</x:v>
      </x:c>
      <x:c r="D1" s="4" t="str">
        <x:v>Lookup Lists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5" t="str">
        <x:v>Use these lists for Google Sheets dropdowns and consistent reporting.</x:v>
      </x:c>
      <x:c r="B2" s="5" t="str">
        <x:v>Use these lists for Google Sheets dropdowns and consistent reporting.</x:v>
      </x:c>
      <x:c r="C2" s="5" t="str">
        <x:v>Use these lists for Google Sheets dropdowns and consistent reporting.</x:v>
      </x:c>
      <x:c r="D2" s="5" t="str">
        <x:v>Use these lists for Google Sheets dropdowns and consistent reporting.</x:v>
      </x:c>
      <x:c r="E2" s="5" t="str">
        <x:v>Use these lists for Google Sheets dropdowns and consistent reporting.</x:v>
      </x:c>
      <x:c r="F2" s="5" t="str">
        <x:v>Use these lists for Google Sheets dropdowns and consistent reporting.</x:v>
      </x:c>
      <x:c r="G2" s="5" t="str">
        <x:v>Use these lists for Google Sheets dropdowns and consistent reporting.</x:v>
      </x:c>
      <x:c r="H2" s="5" t="str">
        <x:v>Use these lists for Google Sheets dropdowns and consistent reporting.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2" t="str">
        <x:v>Statuses</x:v>
      </x:c>
      <x:c r="B4" s="23" t="str">
        <x:v>Branches</x:v>
      </x:c>
      <x:c r="C4" s="23" t="str">
        <x:v>Service Types</x:v>
      </x:c>
      <x:c r="D4" s="24" t="str">
        <x:v>Payment Status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5" t="str">
        <x:v>Received</x:v>
      </x:c>
      <x:c r="B5" s="27" t="str">
        <x:v>Nungwi</x:v>
      </x:c>
      <x:c r="C5" s="27" t="str">
        <x:v>Wash &amp; Press</x:v>
      </x:c>
      <x:c r="D5" s="29" t="str">
        <x:v>Unpaid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5" t="str">
        <x:v>Washing</x:v>
      </x:c>
      <x:c r="B6" s="27" t="str">
        <x:v>Mbweni</x:v>
      </x:c>
      <x:c r="C6" s="27" t="str">
        <x:v>Dry Only</x:v>
      </x:c>
      <x:c r="D6" s="29" t="str">
        <x:v>Paid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5" t="str">
        <x:v>Dry Cleaning</x:v>
      </x:c>
      <x:c r="B7" s="27" t="str">
        <x:v>Taveta</x:v>
      </x:c>
      <x:c r="C7" s="27" t="str">
        <x:v>Ironing &amp; Folding</x:v>
      </x:c>
      <x:c r="D7" s="29" t="str">
        <x:v>Partially Paid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5" t="str">
        <x:v>Pressing</x:v>
      </x:c>
      <x:c r="B8" s="27" t="str"/>
      <x:c r="C8" s="27" t="str">
        <x:v>Stain Removal</x:v>
      </x:c>
      <x:c r="D8" s="29" t="str">
        <x:v>Refunded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5" t="str">
        <x:v>Ready For Pickup</x:v>
      </x:c>
      <x:c r="B9" s="27" t="str"/>
      <x:c r="C9" s="27" t="str">
        <x:v>Hotel / Bulk Laundry</x:v>
      </x:c>
      <x:c r="D9" s="29" t="str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5" t="str">
        <x:v>Delivered</x:v>
      </x:c>
      <x:c r="B10" s="27" t="str"/>
      <x:c r="C10" s="27" t="str">
        <x:v>Blankets / Duvets</x:v>
      </x:c>
      <x:c r="D10" s="29" t="str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5" t="str">
        <x:v>Cancelled</x:v>
      </x:c>
      <x:c r="B11" s="27" t="str"/>
      <x:c r="C11" s="27" t="str">
        <x:v>Curtains</x:v>
      </x:c>
      <x:c r="D11" s="29" t="str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0" t="str"/>
      <x:c r="B12" s="32" t="str"/>
      <x:c r="C12" s="32" t="str">
        <x:v>Other</x:v>
      </x:c>
      <x:c r="D12" s="34" t="str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D1"/>
    <x:mergeCell ref="A2:H2"/>
  </x:mergeCells>
  <x:pageMargins left="0.7" right="0.7" top="0.75" bottom="0.75" header="0.3" footer="0.3"/>
</x:worksheet>
</file>